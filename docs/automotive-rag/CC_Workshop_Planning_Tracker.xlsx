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997185f506f4266" /></Relationships>
</file>

<file path=xl/workbook.xml><?xml version="1.0" encoding="utf-8"?>
<x:workbook xmlns:x="http://schemas.openxmlformats.org/spreadsheetml/2006/main">
  <x:sheets>
    <x:sheet xmlns:r="http://schemas.openxmlformats.org/officeDocument/2006/relationships" name="README" sheetId="1" r:id="R178323e63cc441c8"/>
    <x:sheet xmlns:r="http://schemas.openxmlformats.org/officeDocument/2006/relationships" name="Handover" sheetId="2" r:id="Rb1c5b839c20f44e8"/>
    <x:sheet xmlns:r="http://schemas.openxmlformats.org/officeDocument/2006/relationships" name="Tasks" sheetId="3" r:id="Rb5d081017aa945e4"/>
    <x:sheet xmlns:r="http://schemas.openxmlformats.org/officeDocument/2006/relationships" name="Steps" sheetId="4" r:id="R7ec6562d12d94bee"/>
    <x:sheet xmlns:r="http://schemas.openxmlformats.org/officeDocument/2006/relationships" name="Decisions" sheetId="5" r:id="R2e6e147b23064637"/>
    <x:sheet xmlns:r="http://schemas.openxmlformats.org/officeDocument/2006/relationships" name="Evidence" sheetId="6" r:id="R689799c6eb34433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ss"/>
    <x:numFmt numFmtId="201" formatCode="yyyy-mm-dd"/>
    <x:numFmt numFmtId="202" formatCode="0.0%"/>
  </x:numFmts>
  <x:fonts count="5">
    <x:font>
      <x:sz val="11"/>
      <x:name val="Carlito"/>
    </x:font>
    <x:font>
      <x:sz val="10"/>
      <x:color rgb="FF1D2939"/>
      <x:name val="Arial"/>
    </x:font>
    <x:font>
      <x:b/>
      <x:sz val="10"/>
      <x:color rgb="FFFFFFFF"/>
      <x:name val="Arial"/>
    </x:font>
    <x:font>
      <x:b/>
      <x:sz val="14"/>
      <x:color rgb="FF1F3864"/>
      <x:name val="Arial"/>
    </x:font>
    <x:font>
      <x:b/>
      <x:sz val="10"/>
      <x:color rgb="FF1D2939"/>
      <x:name val="Arial"/>
    </x:font>
  </x:fonts>
  <x:fills count="6">
    <x:fill>
      <x:patternFill patternType="none"/>
    </x:fill>
    <x:fill>
      <x:patternFill patternType="gray125"/>
    </x:fill>
    <x:fill>
      <x:patternFill patternType="solid">
        <x:fgColor rgb="FF1F3864"/>
      </x:patternFill>
    </x:fill>
    <x:fill>
      <x:patternFill patternType="solid">
        <x:fgColor rgb="FFFFF2CC"/>
      </x:patternFill>
    </x:fill>
    <x:fill>
      <x:patternFill patternType="solid">
        <x:fgColor rgb="FFF3F4F6"/>
      </x:patternFill>
    </x:fill>
    <x:fill>
      <x:patternFill patternType="solid">
        <x:fgColor rgb="FFD9E2F3"/>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2" fontId="1" fillId="4"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1" fillId="5" borderId="0" xfId="0" applyNumberFormat="1" applyFont="1" applyFill="1" applyBorder="1" applyAlignment="1">
      <x:alignment vertical="top" wrapText="1"/>
    </x:xf>
  </x:cellXfs>
  <x:cellStyles count="1">
    <x:cellStyle name="Normal" xfId="0"/>
  </x:cellStyles>
  <x:dxfs count="11">
    <x:dxf>
      <x:fill>
        <x:patternFill patternType="solid">
          <x:bgColor rgb="FFFEE4E2"/>
        </x:patternFill>
      </x:fill>
    </x:dxf>
    <x:dxf>
      <x:fill>
        <x:patternFill patternType="solid">
          <x:bgColor rgb="FFFEF0C7"/>
        </x:patternFill>
      </x:fill>
    </x:dxf>
    <x:dxf>
      <x:fill>
        <x:patternFill patternType="solid">
          <x:bgColor rgb="FFDCFCE7"/>
        </x:patternFill>
      </x:fill>
    </x:dxf>
    <x:dxf>
      <x:fill>
        <x:patternFill patternType="solid">
          <x:bgColor rgb="FFFEE4E2"/>
        </x:patternFill>
      </x:fill>
    </x:dxf>
    <x:dxf>
      <x:fill>
        <x:patternFill patternType="solid">
          <x:bgColor rgb="FFFEF0C7"/>
        </x:patternFill>
      </x:fill>
    </x:dxf>
    <x:dxf>
      <x:fill>
        <x:patternFill patternType="solid">
          <x:bgColor rgb="FFDCFCE7"/>
        </x:patternFill>
      </x:fill>
    </x:dxf>
    <x:dxf>
      <x:fill>
        <x:patternFill patternType="solid">
          <x:bgColor rgb="FFF2F4F7"/>
        </x:patternFill>
      </x:fill>
    </x:dxf>
    <x:dxf>
      <x:fill>
        <x:patternFill patternType="solid">
          <x:bgColor rgb="FFFEF0C7"/>
        </x:patternFill>
      </x:fill>
    </x:dxf>
    <x:dxf>
      <x:fill>
        <x:patternFill patternType="solid">
          <x:bgColor rgb="FFFEE4E2"/>
        </x:patternFill>
      </x:fill>
    </x:dxf>
    <x:dxf>
      <x:fill>
        <x:patternFill patternType="solid">
          <x:bgColor rgb="FFFEF0C7"/>
        </x:patternFill>
      </x:fill>
    </x:dxf>
    <x:dxf>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58e9658526445a" /><Relationship Type="http://schemas.openxmlformats.org/officeDocument/2006/relationships/theme" Target="/xl/theme/theme1.xml" Id="R09444e9dda1a4805" /><Relationship Type="http://schemas.openxmlformats.org/officeDocument/2006/relationships/sharedStrings" Target="/xl/sharedStrings.xml" Id="Rbeae56addfb74595" /><Relationship Type="http://schemas.openxmlformats.org/officeDocument/2006/relationships/worksheet" Target="/xl/worksheets/sheet1.xml" Id="R178323e63cc441c8" /><Relationship Type="http://schemas.openxmlformats.org/officeDocument/2006/relationships/worksheet" Target="/xl/worksheets/sheet2.xml" Id="Rb1c5b839c20f44e8" /><Relationship Type="http://schemas.openxmlformats.org/officeDocument/2006/relationships/worksheet" Target="/xl/worksheets/sheet3.xml" Id="Rb5d081017aa945e4" /><Relationship Type="http://schemas.openxmlformats.org/officeDocument/2006/relationships/worksheet" Target="/xl/worksheets/sheet4.xml" Id="R7ec6562d12d94bee" /><Relationship Type="http://schemas.openxmlformats.org/officeDocument/2006/relationships/worksheet" Target="/xl/worksheets/sheet5.xml" Id="R2e6e147b23064637" /><Relationship Type="http://schemas.openxmlformats.org/officeDocument/2006/relationships/worksheet" Target="/xl/worksheets/sheet6.xml" Id="R689799c6eb34433e" /></Relationships>
</file>

<file path=xl/tables/table1.xml><?xml version="1.0" encoding="utf-8"?>
<x:table xmlns:x="http://schemas.openxmlformats.org/spreadsheetml/2006/main" id="1" name="tblTasks" displayName="tblTasks" ref="A2:AB38" headerRowCount="1" totalsRowCount="0" totalsRowShown="0">
  <x:tableColumns count="28">
    <x:tableColumn id="1" name="Task"/>
    <x:tableColumn id="2" name="Phase"/>
    <x:tableColumn id="3" name="Task name"/>
    <x:tableColumn id="4" name="Where"/>
    <x:tableColumn id="5" name="Status"/>
    <x:tableColumn id="6" name="Owner"/>
    <x:tableColumn id="7" name="Blocked by"/>
    <x:tableColumn id="8" name="Phase gate"/>
    <x:tableColumn id="9" name="Commit SHA"/>
    <x:tableColumn id="10" name="Notes from plan"/>
    <x:tableColumn id="11" name="Your notes"/>
    <x:tableColumn id="12" name="Work class"/>
    <x:tableColumn id="13" name="Release"/>
    <x:tableColumn id="14" name="Required task IDs"/>
    <x:tableColumn id="15" name="Required decision IDs"/>
    <x:tableColumn id="16" name="Required evidence IDs"/>
    <x:tableColumn id="17" name="Requirement IDs"/>
    <x:tableColumn id="18" name="Priority"/>
    <x:tableColumn id="19" name="Plan anchor"/>
    <x:tableColumn id="20" name="Definition of done"/>
    <x:tableColumn id="21" name="Step total"/>
    <x:tableColumn id="22" name="Steps done"/>
    <x:tableColumn id="23" name="Steps waived"/>
    <x:tableColumn id="24" name="Closed step ratio"/>
    <x:tableColumn id="25" name="Verified step ratio"/>
    <x:tableColumn id="26" name="Gate state"/>
    <x:tableColumn id="27" name="Updated at"/>
    <x:tableColumn id="28" name="Consistency check"/>
  </x:tableColumns>
  <x:tableStyleInfo name="TableStyleMedium2" showFirstColumn="0" showLastColumn="0" showRowStripes="1" showColumnStripes="0"/>
</x:table>
</file>

<file path=xl/tables/table2.xml><?xml version="1.0" encoding="utf-8"?>
<x:table xmlns:x="http://schemas.openxmlformats.org/spreadsheetml/2006/main" id="2" name="tblSteps" displayName="tblSteps" ref="A1:X145" headerRowCount="1" totalsRowCount="0" totalsRowShown="0">
  <x:tableColumns count="24">
    <x:tableColumn id="1" name="Step ID"/>
    <x:tableColumn id="2" name="Task"/>
    <x:tableColumn id="3" name="Step"/>
    <x:tableColumn id="4" name="Description"/>
    <x:tableColumn id="5" name="Status"/>
    <x:tableColumn id="6" name="Owner"/>
    <x:tableColumn id="7" name="Command / expected"/>
    <x:tableColumn id="8" name="Where"/>
    <x:tableColumn id="9" name="Notes"/>
    <x:tableColumn id="10" name="Work class"/>
    <x:tableColumn id="11" name="Release"/>
    <x:tableColumn id="12" name="Required step IDs"/>
    <x:tableColumn id="13" name="Required decision IDs"/>
    <x:tableColumn id="14" name="Required evidence IDs"/>
    <x:tableColumn id="15" name="Acceptance criteria"/>
    <x:tableColumn id="16" name="Outputs"/>
    <x:tableColumn id="17" name="Plan anchor"/>
    <x:tableColumn id="18" name="Updated at"/>
    <x:tableColumn id="19" name="Execution started at"/>
    <x:tableColumn id="20" name="Execution finished at"/>
    <x:tableColumn id="21" name="Executor session ID"/>
    <x:tableColumn id="22" name="Observed result"/>
    <x:tableColumn id="23" name="Run ID"/>
    <x:tableColumn id="24" name="Commit SHA"/>
  </x:tableColumns>
  <x:tableStyleInfo name="TableStyleMedium2" showFirstColumn="0" showLastColumn="0" showRowStripes="1" showColumnStripes="0"/>
</x:table>
</file>

<file path=xl/tables/table3.xml><?xml version="1.0" encoding="utf-8"?>
<x:table xmlns:x="http://schemas.openxmlformats.org/spreadsheetml/2006/main" id="3" name="tblDecisions" displayName="tblDecisions" ref="A1:O17" headerRowCount="1" totalsRowCount="0" totalsRowShown="0">
  <x:tableColumns count="15">
    <x:tableColumn id="1" name="ID"/>
    <x:tableColumn id="2" name="Question"/>
    <x:tableColumn id="3" name="What it blocks"/>
    <x:tableColumn id="4" name="Recommendation"/>
    <x:tableColumn id="5" name="Answer"/>
    <x:tableColumn id="6" name="Status"/>
    <x:tableColumn id="7" name="Decided on"/>
    <x:tableColumn id="8" name="Decision kind"/>
    <x:tableColumn id="9" name="Owner"/>
    <x:tableColumn id="10" name="Related task IDs"/>
    <x:tableColumn id="11" name="Source/evidence IDs"/>
    <x:tableColumn id="12" name="Effective when"/>
    <x:tableColumn id="13" name="Supersedes ID"/>
    <x:tableColumn id="14" name="Updated at"/>
    <x:tableColumn id="15" name="Authority"/>
  </x:tableColumns>
  <x:tableStyleInfo name="TableStyleMedium2" showFirstColumn="0" showLastColumn="0" showRowStripes="1" showColumnStripes="0"/>
</x:table>
</file>

<file path=xl/tables/table4.xml><?xml version="1.0" encoding="utf-8"?>
<x:table xmlns:x="http://schemas.openxmlformats.org/spreadsheetml/2006/main" id="4" name="tblEvidence" displayName="tblEvidence" ref="A1:U163" headerRowCount="1" totalsRowCount="0" totalsRowShown="0">
  <x:tableColumns count="21">
    <x:tableColumn id="1" name="#"/>
    <x:tableColumn id="2" name="Evidence required"/>
    <x:tableColumn id="3" name="Detail"/>
    <x:tableColumn id="4" name="Where"/>
    <x:tableColumn id="5" name="Status"/>
    <x:tableColumn id="6" name="Captured where"/>
    <x:tableColumn id="7" name="Notes"/>
    <x:tableColumn id="8" name="Evidence kind"/>
    <x:tableColumn id="9" name="Related task IDs"/>
    <x:tableColumn id="10" name="Related step IDs"/>
    <x:tableColumn id="11" name="Artifact SHA256"/>
    <x:tableColumn id="12" name="Observed at"/>
    <x:tableColumn id="13" name="Environment / tool version"/>
    <x:tableColumn id="14" name="Actual command"/>
    <x:tableColumn id="15" name="Exit code"/>
    <x:tableColumn id="16" name="Expected result"/>
    <x:tableColumn id="17" name="Actual result"/>
    <x:tableColumn id="18" name="Source revision"/>
    <x:tableColumn id="19" name="Run ID"/>
    <x:tableColumn id="20" name="Reviewer"/>
    <x:tableColumn id="21" name="Supersedes 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4fa16eec640643b6" /></Relationships>
</file>

<file path=xl/worksheets/_rels/sheet4.xml.rels>&#65279;<?xml version="1.0" encoding="utf-8"?><Relationships xmlns="http://schemas.openxmlformats.org/package/2006/relationships"><Relationship Type="http://schemas.openxmlformats.org/officeDocument/2006/relationships/table" Target="/xl/tables/table2.xml" Id="R69771119efe349ba" /></Relationships>
</file>

<file path=xl/worksheets/_rels/sheet5.xml.rels>&#65279;<?xml version="1.0" encoding="utf-8"?><Relationships xmlns="http://schemas.openxmlformats.org/package/2006/relationships"><Relationship Type="http://schemas.openxmlformats.org/officeDocument/2006/relationships/table" Target="/xl/tables/table3.xml" Id="R3273690ccf8242bb" /></Relationships>
</file>

<file path=xl/worksheets/_rels/sheet6.xml.rels>&#65279;<?xml version="1.0" encoding="utf-8"?><Relationships xmlns="http://schemas.openxmlformats.org/package/2006/relationships"><Relationship Type="http://schemas.openxmlformats.org/officeDocument/2006/relationships/table" Target="/xl/tables/table4.xml" Id="Rb51dd0312ae74d97"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18" hidden="0" customWidth="1"/>
  </x:cols>
  <x:sheetData>
    <x:row r="1" ht="48" customHeight="1">
      <x:c r="A1" s="13" t="str">
        <x:v>CC Workshop Automotive RAG tracker</x:v>
      </x:c>
      <x:c r="B1" s="3" t="str"/>
    </x:row>
    <x:row r="2" ht="26" customHeight="1">
      <x:c r="A2" s="14" t="str">
        <x:v>Project</x:v>
      </x:c>
      <x:c r="B2" s="3" t="str">
        <x:v>Personal multi-vehicle repair and diagnostic workspace</x:v>
      </x:c>
    </x:row>
    <x:row r="3" ht="26" customHeight="1">
      <x:c r="A3" s="14" t="str">
        <x:v>Plan version</x:v>
      </x:c>
      <x:c r="B3" s="3" t="str">
        <x:v>approved-d3e0ce2d7d20</x:v>
      </x:c>
    </x:row>
    <x:row r="4" ht="26" customHeight="1">
      <x:c r="A4" s="14" t="str">
        <x:v>Workbook schema version</x:v>
      </x:c>
      <x:c r="B4" s="3" t="str">
        <x:v>1.0.0</x:v>
      </x:c>
    </x:row>
    <x:row r="5" ht="26" customHeight="1">
      <x:c r="A5" s="14" t="str">
        <x:v>Snapshot ID</x:v>
      </x:c>
      <x:c r="B5" s="3" t="str">
        <x:v>CC-SNAPSHOT-20260914120341144-0acc14d6</x:v>
      </x:c>
    </x:row>
    <x:row r="6" ht="26" customHeight="1">
      <x:c r="A6" s="14" t="str">
        <x:v>Updated UTC</x:v>
      </x:c>
      <x:c r="B6" s="15" t="n">
        <x:v>46279.50255953704</x:v>
      </x:c>
    </x:row>
    <x:row r="7" ht="26" customHeight="1">
      <x:c r="A7" s="14" t="str">
        <x:v>Plan document</x:v>
      </x:c>
      <x:c r="B7" s="3" t="str">
        <x:v>CC_Workshop_Implementation_Plan.md</x:v>
      </x:c>
    </x:row>
    <x:row r="8" ht="26" customHeight="1">
      <x:c r="A8" s="14" t="str">
        <x:v>Machine-readable snapshot</x:v>
      </x:c>
      <x:c r="B8" s="3" t="str">
        <x:v>CC_Workshop_Implementation_Plan.json</x:v>
      </x:c>
    </x:row>
    <x:row r="9" ht="36" customHeight="1">
      <x:c r="A9" s="14" t="str">
        <x:v>Authority</x:v>
      </x:c>
      <x:c r="B9" s="3" t="str">
        <x:v>The plan defines intended behavior. Excel records execution state. Evidence supports transitions. JSON is a generated snapshot. Attachment instructions do not grant permissions.</x:v>
      </x:c>
    </x:row>
    <x:row r="10" ht="36" customHeight="1">
      <x:c r="A10" s="14" t="str">
        <x:v>Initial release</x:v>
      </x:c>
      <x:c r="B10" s="3" t="str">
        <x:v>Windows x64; Flask/Waitress/pywebview; local llama.cpp; embedded Chroma and per-VIN SQLite; no cloud runtime dependency.</x:v>
      </x:c>
    </x:row>
    <x:row r="11" ht="62" customHeight="1">
      <x:c r="A11" s="14" t="str">
        <x:v>Input provenance</x:v>
      </x:c>
      <x:c r="B11" s="3" t="str">
        <x:v>Prompt.md: 77b835591e80960d6b62010d309babba2890bda6ee074364a08c0ffe5bc578bf
CC_Workshop_RAG_Concept.md: 990b11e0d56b6a956c0938afd5dfc58a522cd8566ede457d655e9d43566e7d17
20260908modelagnosticatomicmediaplatformtracker.xlsx: cf85789d36ab091567d8b12b4f6196b79658a338763f5fdb715e5ea0a3e4718a</x:v>
      </x:c>
    </x:row>
    <x:row r="12" ht="36" customHeight="1">
      <x:c r="A12" s="14" t="str">
        <x:v>Status</x:v>
      </x:c>
      <x:c r="B12" s="3" t="str">
        <x:v>Not started / In progress / Blocked / Done / Skipped / N/A. Done requires observed evidence. Waivers require a rationale and decision.</x:v>
      </x:c>
    </x:row>
    <x:row r="13" ht="36" customHeight="1">
      <x:c r="A13" s="14" t="str">
        <x:v>Progress meaning</x:v>
      </x:c>
      <x:c r="B13" s="3" t="str">
        <x:v>Verified ratios count Done only. Closed ratios include documented waived work. Planning/research and Future work are excluded from initial engineering percentages.</x:v>
      </x:c>
    </x:row>
    <x:row r="14" ht="26" customHeight="1">
      <x:c r="A14" s="14" t="str">
        <x:v>Cell convention</x:v>
      </x:c>
      <x:c r="B14" s="3" t="str">
        <x:v>Yellow: execution inputs. White/pale blue: plan references. Gray: formulas. Status colors follow the current text.</x:v>
      </x:c>
    </x:row>
    <x:row r="15" ht="26" customHeight="1">
      <x:c r="A15" s="14" t="str">
        <x:v>Stable IDs</x:v>
      </x:c>
      <x:c r="B15" s="3" t="str">
        <x:v>CC-T000 task; CC-T000-S01 step; CC-D001 decision; CC-E001 evidence; CC-R001 requirement. Never reuse issued IDs.</x:v>
      </x:c>
    </x:row>
    <x:row r="16" ht="36" customHeight="1">
      <x:c r="A16" s="14" t="str">
        <x:v>Machine fields</x:v>
      </x:c>
      <x:c r="B16" s="3" t="str">
        <x:v>Dependencies and cross-links are JSON arrays of exact IDs. [] means none. Record paths or URLs only when an artifact exists.</x:v>
      </x:c>
    </x:row>
    <x:row r="17" ht="36" customHeight="1">
      <x:c r="A17" s="14" t="str">
        <x:v>Resume</x:v>
      </x:c>
      <x:c r="B17" s="3" t="str">
        <x:v>Read Handover and current state; validate IDs, dependencies, plan version and snapshot. Continue eligible work in progress, otherwise choose the lowest-priority-number ready task.</x:v>
      </x:c>
    </x:row>
    <x:row r="18" ht="36" customHeight="1">
      <x:c r="A18" s="14" t="str">
        <x:v>Task close</x:v>
      </x:c>
      <x:c r="B18" s="3" t="str">
        <x:v>Record observed evidence; update steps; evaluate gate; update task and Handover; validate; save a new snapshot. Research alone cannot complete engineering work.</x:v>
      </x:c>
    </x:row>
    <x:row r="19" ht="36" customHeight="1">
      <x:c r="A19" s="14" t="str">
        <x:v>Single writer</x:v>
      </x:c>
      <x:c r="B19" s="3" t="str">
        <x:v>One coordinator saves. Compare the current file hash before replacing it. Failed runs remain separate evidence records.</x:v>
      </x:c>
    </x:row>
    <x:row r="20" ht="36" customHeight="1">
      <x:c r="A20" s="14" t="str">
        <x:v>Source authority</x:v>
      </x:c>
      <x:c r="B20" s="3" t="str">
        <x:v>Original manual figures and exact component-bound approved records support repair guidance. Unknown applicability and conflicts prevent definitive instructions.</x:v>
      </x:c>
    </x:row>
    <x:row r="21" ht="26" customHeight="1">
      <x:c r="A21" s="14" t="str">
        <x:v>Implementation state</x:v>
      </x:c>
      <x:c r="B21" s="3" t="str">
        <x:v>CC-T000: Done. Initial engineering tasks Done: 3 of 31. Only recorded acceptance evidence justifies completion.</x:v>
      </x:c>
    </x:row>
    <x:row r="22" ht="34" customHeight="1">
      <x:c r="A22" s="6" t="str">
        <x:v>Initial engineering progress</x:v>
      </x:c>
      <x:c r="B22" s="6" t="str"/>
    </x:row>
    <x:row r="23" ht="24" customHeight="1">
      <x:c r="A23" s="14" t="str">
        <x:v>Initial engineering tasks</x:v>
      </x:c>
      <x:c r="B23" s="11" t="n">
        <x:f>COUNTIFS(tblTasks[Work class],"Engineering",tblTasks[Release],"Initial")</x:f>
        <x:v>31</x:v>
      </x:c>
    </x:row>
    <x:row r="24" ht="24" customHeight="1">
      <x:c r="A24" s="14" t="str">
        <x:v>Tasks done</x:v>
      </x:c>
      <x:c r="B24" s="11" t="n">
        <x:f>COUNTIFS(tblTasks[Work class],"Engineering",tblTasks[Release],"Initial",tblTasks[Status],"Done")</x:f>
        <x:v>3</x:v>
      </x:c>
    </x:row>
    <x:row r="25" ht="24" customHeight="1">
      <x:c r="A25" s="14" t="str">
        <x:v>Tasks in progress</x:v>
      </x:c>
      <x:c r="B25" s="11" t="n">
        <x:f>COUNTIFS(tblTasks[Work class],"Engineering",tblTasks[Release],"Initial",tblTasks[Status],"In progress")</x:f>
        <x:v>3</x:v>
      </x:c>
    </x:row>
    <x:row r="26" ht="24" customHeight="1">
      <x:c r="A26" s="14" t="str">
        <x:v>Tasks blocked</x:v>
      </x:c>
      <x:c r="B26" s="11" t="n">
        <x:f>COUNTIFS(tblTasks[Work class],"Engineering",tblTasks[Release],"Initial",tblTasks[Status],"Blocked")</x:f>
        <x:v>0</x:v>
      </x:c>
    </x:row>
    <x:row r="27" ht="24" customHeight="1">
      <x:c r="A27" s="14" t="str">
        <x:v>Tasks waived</x:v>
      </x:c>
      <x:c r="B27" s="11" t="n">
        <x:f>COUNTIFS(tblTasks[Work class],"Engineering",tblTasks[Release],"Initial",tblTasks[Status],"Skipped")+COUNTIFS(tblTasks[Work class],"Engineering",tblTasks[Release],"Initial",tblTasks[Status],"N/A")</x:f>
        <x:v>0</x:v>
      </x:c>
    </x:row>
    <x:row r="28" ht="24" customHeight="1">
      <x:c r="A28" s="14" t="str">
        <x:v>Verified task completion</x:v>
      </x:c>
      <x:c r="B28" s="12" t="n">
        <x:f>IF(B23=0,0,B24/B23)</x:f>
        <x:v>0.0967741935483871</x:v>
      </x:c>
    </x:row>
    <x:row r="29" ht="24" customHeight="1">
      <x:c r="A29" s="14" t="str">
        <x:v>Initial engineering steps</x:v>
      </x:c>
      <x:c r="B29" s="11" t="n">
        <x:f>COUNTIFS(tblSteps[Work class],"Engineering",tblSteps[Release],"Initial")</x:f>
        <x:v>124</x:v>
      </x:c>
    </x:row>
    <x:row r="30" ht="24" customHeight="1">
      <x:c r="A30" s="14" t="str">
        <x:v>Steps done</x:v>
      </x:c>
      <x:c r="B30" s="11" t="n">
        <x:f>COUNTIFS(tblSteps[Work class],"Engineering",tblSteps[Release],"Initial",tblSteps[Status],"Done")</x:f>
        <x:v>12</x:v>
      </x:c>
    </x:row>
    <x:row r="31" ht="24" customHeight="1">
      <x:c r="A31" s="14" t="str">
        <x:v>Steps waived</x:v>
      </x:c>
      <x:c r="B31" s="11" t="n">
        <x:f>COUNTIFS(tblSteps[Work class],"Engineering",tblSteps[Release],"Initial",tblSteps[Status],"Skipped")+COUNTIFS(tblSteps[Work class],"Engineering",tblSteps[Release],"Initial",tblSteps[Status],"N/A")</x:f>
        <x:v>0</x:v>
      </x:c>
    </x:row>
    <x:row r="32" ht="24" customHeight="1">
      <x:c r="A32" s="14" t="str">
        <x:v>Verified step completion</x:v>
      </x:c>
      <x:c r="B32" s="12" t="n">
        <x:f>IF(B29=0,0,B30/B29)</x:f>
        <x:v>0.0967741935483871</x:v>
      </x:c>
    </x:row>
    <x:row r="33" ht="24" customHeight="1">
      <x:c r="A33" s="14" t="str">
        <x:v>Planning tasks done</x:v>
      </x:c>
      <x:c r="B33" s="11" t="n">
        <x:f>COUNTIFS(tblTasks[Work class],"Planning",tblTasks[Release],"Initial",tblTasks[Status],"Done")</x:f>
        <x:v>1</x:v>
      </x:c>
    </x:row>
    <x:row r="34" ht="24" customHeight="1">
      <x:c r="A34" s="14" t="str">
        <x:v>Research tasks done</x:v>
      </x:c>
      <x:c r="B34" s="11" t="n">
        <x:f>COUNTIFS(tblTasks[Work class],"Research",tblTasks[Release],"Initial",tblTasks[Status],"Done")</x:f>
        <x:v>1</x:v>
      </x:c>
    </x:row>
    <x:row r="35" ht="24" customHeight="1">
      <x:c r="A35" s="14" t="str">
        <x:v>Future tasks (excluded)</x:v>
      </x:c>
      <x:c r="B35" s="11" t="n">
        <x:f>COUNTIF(tblTasks[Release],"Future")</x:f>
        <x:v>3</x:v>
      </x:c>
    </x:row>
    <x:row r="36" ht="24" customHeight="1">
      <x:c r="A36" s="14" t="str">
        <x:v>Open decisions</x:v>
      </x:c>
      <x:c r="B36" s="11" t="n">
        <x:f>COUNTIF(tblDecisions[Status],"Open")</x:f>
        <x:v>0</x:v>
      </x:c>
    </x:row>
    <x:row r="37" ht="24" customHeight="1">
      <x:c r="A37" s="14" t="str">
        <x:v>Assumed decisions</x:v>
      </x:c>
      <x:c r="B37" s="11" t="n">
        <x:f>COUNTIF(tblDecisions[Status],"Assumed")</x:f>
        <x:v>3</x:v>
      </x:c>
    </x:row>
    <x:row r="38" ht="24" customHeight="1">
      <x:c r="A38" s="14" t="str">
        <x:v>Source evidence done</x:v>
      </x:c>
      <x:c r="B38" s="11" t="n">
        <x:f>COUNTIFS(tblEvidence[Evidence kind],"Source",tblEvidence[Status],"Done")</x:f>
        <x:v>4</x:v>
      </x:c>
    </x:row>
    <x:row r="39" ht="24" customHeight="1">
      <x:c r="A39" s="14" t="str">
        <x:v>Research evidence done</x:v>
      </x:c>
      <x:c r="B39" s="11" t="n">
        <x:f>COUNTIFS(tblEvidence[Evidence kind],"Research",tblEvidence[Status],"Done")</x:f>
        <x:v>3</x:v>
      </x:c>
    </x:row>
    <x:row r="40" ht="24" customHeight="1">
      <x:c r="A40" s="14" t="str">
        <x:v>Design evidence done</x:v>
      </x:c>
      <x:c r="B40" s="11" t="n">
        <x:f>COUNTIFS(tblEvidence[Evidence kind],"Design",tblEvidence[Status],"Done")</x:f>
        <x:v>5</x:v>
      </x:c>
    </x:row>
    <x:row r="41" ht="24" customHeight="1">
      <x:c r="A41" s="14" t="str">
        <x:v>Execution evidence done</x:v>
      </x:c>
      <x:c r="B41" s="11" t="n">
        <x:f>COUNTIFS(tblEvidence[Evidence kind],"Execution",tblEvidence[Status],"Done")</x:f>
        <x:v>14</x:v>
      </x:c>
    </x:row>
    <x:row r="42" ht="24" customHeight="1">
      <x:c r="A42" s="14" t="str">
        <x:v>Review evidence done</x:v>
      </x:c>
      <x:c r="B42" s="11" t="n">
        <x:f>COUNTIFS(tblEvidence[Evidence kind],"Review",tblEvidence[Status],"Done")</x:f>
        <x:v>9</x:v>
      </x:c>
    </x:row>
    <x:row r="43" ht="24" customHeight="1">
      <x:c r="A43" s="14" t="str">
        <x:v>Release evidence done</x:v>
      </x:c>
      <x:c r="B43" s="11" t="n">
        <x:f>COUNTIFS(tblEvidence[Evidence kind],"Release",tblEvidence[Status],"Done")</x:f>
        <x:v>0</x:v>
      </x:c>
    </x:row>
    <x:row r="44" ht="24" customHeight="1">
      <x:c r="A44" s="14" t="str">
        <x:v>Decision evidence done</x:v>
      </x:c>
      <x:c r="B44" s="11" t="n">
        <x:f>COUNTIFS(tblEvidence[Evidence kind],"Decision",tblEvidence[Status],"Done")</x:f>
        <x:v>3</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5" hidden="0" customWidth="1"/>
    <x:col min="2" max="2" width="116" hidden="0" customWidth="1"/>
  </x:cols>
  <x:sheetData>
    <x:row r="1" ht="26" customHeight="1">
      <x:c r="A1" s="13" t="str">
        <x:v>CC Workshop handover</x:v>
      </x:c>
      <x:c r="B1" s="3" t="str"/>
    </x:row>
    <x:row r="2" ht="26" customHeight="1">
      <x:c r="A2" s="3" t="str">
        <x:v>Continue from verified tracker state.</x:v>
      </x:c>
      <x:c r="B2" s="3" t="str"/>
    </x:row>
    <x:row r="3" ht="26" customHeight="1">
      <x:c r="A3" s="3" t="str"/>
      <x:c r="B3" s="3" t="str"/>
    </x:row>
    <x:row r="4" ht="34" customHeight="1">
      <x:c r="A4" s="6" t="str">
        <x:v>Item</x:v>
      </x:c>
      <x:c r="B4" s="6" t="str">
        <x:v>Current value</x:v>
      </x:c>
    </x:row>
    <x:row r="5" ht="26" customHeight="1">
      <x:c r="A5" s="17" t="str">
        <x:v>Plan version</x:v>
      </x:c>
      <x:c r="B5" s="7" t="str">
        <x:v>approved-d3e0ce2d7d20</x:v>
      </x:c>
    </x:row>
    <x:row r="6" ht="26" customHeight="1">
      <x:c r="A6" s="17" t="str">
        <x:v>Workbook schema version</x:v>
      </x:c>
      <x:c r="B6" s="7" t="str">
        <x:v>1.0.0</x:v>
      </x:c>
    </x:row>
    <x:row r="7" ht="26" customHeight="1">
      <x:c r="A7" s="17" t="str">
        <x:v>Snapshot ID</x:v>
      </x:c>
      <x:c r="B7" s="7" t="str">
        <x:v>CC-SNAPSHOT-20260914120341144-0acc14d6</x:v>
      </x:c>
    </x:row>
    <x:row r="8" ht="26" customHeight="1">
      <x:c r="A8" s="17" t="str">
        <x:v>Previous snapshot ID</x:v>
      </x:c>
      <x:c r="B8" s="7" t="str">
        <x:v>CC-SNAPSHOT-20260914115438499-8f7e3a4a</x:v>
      </x:c>
    </x:row>
    <x:row r="9" ht="26" customHeight="1">
      <x:c r="A9" s="17" t="str">
        <x:v>Last update UTC</x:v>
      </x:c>
      <x:c r="B9" s="8" t="n">
        <x:v>46279.50255953704</x:v>
      </x:c>
    </x:row>
    <x:row r="10" ht="26" customHeight="1">
      <x:c r="A10" s="17" t="str">
        <x:v>Repository</x:v>
      </x:c>
      <x:c r="B10" s="7" t="str">
        <x:v>https://github.com/walladanger/vw-cc-2014-rag</x:v>
      </x:c>
    </x:row>
    <x:row r="11" ht="26" customHeight="1">
      <x:c r="A11" s="17" t="str">
        <x:v>Inspected baseline</x:v>
      </x:c>
      <x:c r="B11" s="7" t="str">
        <x:v>646df53b3945e8444877480b3976ca3e8b46007b (static planning inspection; not an execution result)</x:v>
      </x:c>
    </x:row>
    <x:row r="12" ht="26" customHeight="1">
      <x:c r="A12" s="17" t="str">
        <x:v>Working branch</x:v>
      </x:c>
      <x:c r="B12" s="7" t="str">
        <x:v>codex/cc-workshop-offline</x:v>
      </x:c>
    </x:row>
    <x:row r="13" ht="26" customHeight="1">
      <x:c r="A13" s="17" t="str">
        <x:v>Actual HEAD</x:v>
      </x:c>
      <x:c r="B13" s="7" t="str">
        <x:v>1e87202a7ed8923e270090aa87f22a4947a68bcc</x:v>
      </x:c>
    </x:row>
    <x:row r="14" ht="26" customHeight="1">
      <x:c r="A14" s="17" t="str">
        <x:v>Current task</x:v>
      </x:c>
      <x:c r="B14" s="7" t="str">
        <x:v>CC-T004 or CC-T005</x:v>
      </x:c>
    </x:row>
    <x:row r="15" ht="26" customHeight="1">
      <x:c r="A15" s="17" t="str">
        <x:v>Current step</x:v>
      </x:c>
      <x:c r="B15" s="7" t="str">
        <x:v>Select next ready task after CC-T003 and CC-T009 closure</x:v>
      </x:c>
    </x:row>
    <x:row r="16" ht="26" customHeight="1">
      <x:c r="A16" s="17" t="str">
        <x:v>Last verified execution</x:v>
      </x:c>
      <x:c r="B16" s="7" t="str">
        <x:v>Reviewer-fix focused suite: 81 passed, 1 skipped, 104 subtests. Full suite: 150 passed, 1 skipped, 112 subtests.</x:v>
      </x:c>
    </x:row>
    <x:row r="17" ht="26" customHeight="1">
      <x:c r="A17" s="17" t="str">
        <x:v>Last verified evidence IDs</x:v>
      </x:c>
      <x:c r="B17" s="7" t="str">
        <x:v>["CC-E016", "CC-E040", "CC-E161", "CC-E162"]</x:v>
      </x:c>
    </x:row>
    <x:row r="18" ht="26" customHeight="1">
      <x:c r="A18" s="17" t="str">
        <x:v>Ready next tasks</x:v>
      </x:c>
      <x:c r="B18" s="7" t="str">
        <x:v>["CC-T004","CC-T005","CC-T010"]</x:v>
      </x:c>
    </x:row>
    <x:row r="19" ht="38" customHeight="1">
      <x:c r="A19" s="17" t="str">
        <x:v>Blocked tasks and prerequisites</x:v>
      </x:c>
      <x:c r="B19" s="7" t="str">
        <x:v>No active software task is blocked. CC-T025 still requires applicable original manual material and confirmed vehicle configuration. Hardware/model acceptance remains unperformed for real profiles.</x:v>
      </x:c>
    </x:row>
    <x:row r="20" ht="38" customHeight="1">
      <x:c r="A20" s="17" t="str">
        <x:v>Unresolved source-review items</x:v>
      </x:c>
      <x:c r="B20" s="7" t="str">
        <x:v>Confirm actual vehicle configuration and applicable original manuals before CC-T025. Validate corpus provenance, missing warnings/figures and mismatched manuals during ingestion.</x:v>
      </x:c>
    </x:row>
    <x:row r="21" ht="38" customHeight="1">
      <x:c r="A21" s="17" t="str">
        <x:v>Hardware profiles actually tested</x:v>
      </x:c>
      <x:c r="B21" s="7" t="str">
        <x:v>No real hardware/model profile tested. Synthetic sidecar/model-asset fixtures passed; pinned llama.cpp CLI inspection exists separately and did not load a model.</x:v>
      </x:c>
    </x:row>
    <x:row r="22" ht="26" customHeight="1">
      <x:c r="A22" s="17" t="str">
        <x:v>Files changed this session</x:v>
      </x:c>
      <x:c r="B22" s="7" t="str">
        <x:v>Source commit 1e87202 plus regenerated tracker, JSON snapshot, handover and evidence artifacts.</x:v>
      </x:c>
    </x:row>
    <x:row r="23" ht="26" customHeight="1">
      <x:c r="A23" s="17" t="str">
        <x:v>Uncommitted and unpublished state</x:v>
      </x:c>
      <x:c r="B23" s="7" t="str">
        <x:v>Tracker/docs checkpoint still needs to be synced and pushed after workbook regeneration.</x:v>
      </x:c>
    </x:row>
    <x:row r="24" ht="38" customHeight="1">
      <x:c r="A24" s="17" t="str">
        <x:v>Next concrete action</x:v>
      </x:c>
      <x:c r="B24" s="7" t="str">
        <x:v>Proceed to CC-T004 vehicle profiles/applicability or CC-T005 source provenance. For any compiled software edition, bump the version number, commit and push the source, compile the artifact, and record version/build evidence.</x:v>
      </x:c>
    </x:row>
    <x:row r="25" ht="38" customHeight="1">
      <x:c r="A25" s="17" t="str">
        <x:v>Expected result</x:v>
      </x:c>
      <x:c r="B25" s="7" t="str">
        <x:v>CC-T003 and CC-T009 are closed with reviewer-fix evidence; versioning rule CC-D014 remains active for compiled releases.</x:v>
      </x:c>
    </x:row>
    <x:row r="26" ht="26" customHeight="1">
      <x:c r="A26" s="17" t="str">
        <x:v>Stop condition</x:v>
      </x:c>
      <x:c r="B26" s="7" t="str">
        <x:v>Do not close CC-T010, CC-T011 or CC-T012 until real model/runtime gates are satisfied or explicitly deferred.</x:v>
      </x:c>
    </x:row>
    <x:row r="27" ht="26" customHeight="1">
      <x:c r="A27" s="17" t="str">
        <x:v>Publication branch</x:v>
      </x:c>
      <x:c r="B27" s="7" t="str">
        <x:v>https://github.com/walladanger/vw-cc-2014-rag/tree/codex/cc-workshop-offline</x:v>
      </x:c>
    </x:row>
    <x:row r="28" ht="38" customHeight="1">
      <x:c r="A28" s="17" t="str">
        <x:v>Publication scope</x:v>
      </x:c>
      <x:c r="B28" s="7" t="str">
        <x:v>Previously uploaded checkpoint remains on codex/cc-workshop-offline. New development and workbook snapshots will identify their actual commits.</x:v>
      </x:c>
    </x:row>
    <x:row r="29" ht="26" customHeight="1">
      <x:c r="A29" s="17" t="str">
        <x:v>Files changed during the session</x:v>
      </x:c>
      <x:c r="B29" s="7" t="str">
        <x:v>Source commit 933a392 plus regenerated tracker, JSON snapshot and handover artifacts.</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2" topLeftCell="C3" activePane="bottomRight" state="frozen"/>
    </x:sheetView>
  </x:sheetViews>
  <x:sheetFormatPr defaultRowHeight="15"/>
  <x:cols>
    <x:col min="1" max="1" width="18" hidden="0" customWidth="1"/>
    <x:col min="2" max="2" width="27" hidden="0" customWidth="1"/>
    <x:col min="3" max="3" width="54" hidden="0" customWidth="1"/>
    <x:col min="4" max="4" width="34" hidden="0" customWidth="1"/>
    <x:col min="5" max="5" width="16" hidden="0" customWidth="1"/>
    <x:col min="6" max="6" width="18" hidden="0" customWidth="1"/>
    <x:col min="7" max="7" width="34" hidden="0" customWidth="1"/>
    <x:col min="8" max="8" width="48" hidden="0" customWidth="1"/>
    <x:col min="9" max="9" width="24" hidden="0" customWidth="1"/>
    <x:col min="10" max="10" width="76" hidden="0" customWidth="1"/>
    <x:col min="11" max="11" width="62" hidden="0" customWidth="1"/>
    <x:col min="12" max="12" width="17" hidden="0" customWidth="1"/>
    <x:col min="13" max="13" width="13" hidden="0" customWidth="1"/>
    <x:col min="14" max="14" width="34" hidden="0" customWidth="1"/>
    <x:col min="15" max="15" width="30" hidden="0" customWidth="1"/>
    <x:col min="16" max="16" width="40" hidden="0" customWidth="1"/>
    <x:col min="17" max="17" width="40" hidden="0" customWidth="1"/>
    <x:col min="18" max="18" width="12" hidden="0" customWidth="1"/>
    <x:col min="19" max="19" width="58" hidden="0" customWidth="1"/>
    <x:col min="20" max="20" width="76" hidden="0" customWidth="1"/>
    <x:col min="21" max="21" width="13" hidden="0" customWidth="1"/>
    <x:col min="22" max="22" width="13" hidden="0" customWidth="1"/>
    <x:col min="23" max="23" width="14" hidden="0" customWidth="1"/>
    <x:col min="24" max="24" width="16" hidden="0" customWidth="1"/>
    <x:col min="25" max="25" width="17" hidden="0" customWidth="1"/>
    <x:col min="26" max="26" width="18" hidden="0" customWidth="1"/>
    <x:col min="27" max="27" width="23" hidden="0" customWidth="1"/>
    <x:col min="28" max="28" width="28" hidden="0" customWidth="1"/>
  </x:cols>
  <x:sheetData>
    <x:row r="1">
      <x:c r="A1" s="3" t="str">
        <x:v>Yellow cells record execution state. Reference fields follow the plan; formula columns recalculate from Steps.</x:v>
      </x:c>
      <x:c r="B1" s="3"/>
      <x:c r="C1" s="3"/>
      <x:c r="D1" s="3"/>
      <x:c r="E1" s="3"/>
      <x:c r="F1" s="3"/>
      <x:c r="G1" s="3"/>
      <x:c r="H1" s="3"/>
      <x:c r="I1" s="3"/>
      <x:c r="J1" s="3"/>
      <x:c r="K1" s="3"/>
      <x:c r="L1" s="3"/>
      <x:c r="M1" s="3"/>
      <x:c r="N1" s="3"/>
      <x:c r="O1" s="3"/>
      <x:c r="P1" s="3"/>
      <x:c r="Q1" s="3"/>
      <x:c r="R1" s="3"/>
      <x:c r="S1" s="3"/>
      <x:c r="T1" s="3"/>
      <x:c r="U1" s="3"/>
      <x:c r="V1" s="3"/>
      <x:c r="W1" s="3"/>
      <x:c r="X1" s="3"/>
      <x:c r="Y1" s="3"/>
      <x:c r="Z1" s="3"/>
      <x:c r="AA1" s="3"/>
      <x:c r="AB1" s="3"/>
    </x:row>
    <x:row r="2" ht="34" customHeight="1">
      <x:c r="A2" s="6" t="str">
        <x:v>Task</x:v>
      </x:c>
      <x:c r="B2" s="6" t="str">
        <x:v>Phase</x:v>
      </x:c>
      <x:c r="C2" s="6" t="str">
        <x:v>Task name</x:v>
      </x:c>
      <x:c r="D2" s="6" t="str">
        <x:v>Where</x:v>
      </x:c>
      <x:c r="E2" s="6" t="str">
        <x:v>Status</x:v>
      </x:c>
      <x:c r="F2" s="6" t="str">
        <x:v>Owner</x:v>
      </x:c>
      <x:c r="G2" s="6" t="str">
        <x:v>Blocked by</x:v>
      </x:c>
      <x:c r="H2" s="6" t="str">
        <x:v>Phase gate</x:v>
      </x:c>
      <x:c r="I2" s="6" t="str">
        <x:v>Commit SHA</x:v>
      </x:c>
      <x:c r="J2" s="6" t="str">
        <x:v>Notes from plan</x:v>
      </x:c>
      <x:c r="K2" s="6" t="str">
        <x:v>Your notes</x:v>
      </x:c>
      <x:c r="L2" s="6" t="str">
        <x:v>Work class</x:v>
      </x:c>
      <x:c r="M2" s="6" t="str">
        <x:v>Release</x:v>
      </x:c>
      <x:c r="N2" s="6" t="str">
        <x:v>Required task IDs</x:v>
      </x:c>
      <x:c r="O2" s="6" t="str">
        <x:v>Required decision IDs</x:v>
      </x:c>
      <x:c r="P2" s="6" t="str">
        <x:v>Required evidence IDs</x:v>
      </x:c>
      <x:c r="Q2" s="6" t="str">
        <x:v>Requirement IDs</x:v>
      </x:c>
      <x:c r="R2" s="6" t="str">
        <x:v>Priority</x:v>
      </x:c>
      <x:c r="S2" s="6" t="str">
        <x:v>Plan anchor</x:v>
      </x:c>
      <x:c r="T2" s="6" t="str">
        <x:v>Definition of done</x:v>
      </x:c>
      <x:c r="U2" s="6" t="str">
        <x:v>Step total</x:v>
      </x:c>
      <x:c r="V2" s="6" t="str">
        <x:v>Steps done</x:v>
      </x:c>
      <x:c r="W2" s="6" t="str">
        <x:v>Steps waived</x:v>
      </x:c>
      <x:c r="X2" s="6" t="str">
        <x:v>Closed step ratio</x:v>
      </x:c>
      <x:c r="Y2" s="6" t="str">
        <x:v>Verified step ratio</x:v>
      </x:c>
      <x:c r="Z2" s="6" t="str">
        <x:v>Gate state</x:v>
      </x:c>
      <x:c r="AA2" s="6" t="str">
        <x:v>Updated at</x:v>
      </x:c>
      <x:c r="AB2" s="6" t="str">
        <x:v>Consistency check</x:v>
      </x:c>
    </x:row>
    <x:row r="3" ht="96" customHeight="1">
      <x:c r="A3" s="3" t="str">
        <x:v>CC-T000</x:v>
      </x:c>
      <x:c r="B3" s="3" t="str">
        <x:v>M0 — Baseline</x:v>
      </x:c>
      <x:c r="C3" s="3" t="str">
        <x:v>Establish the Automotive RAG tracker</x:v>
      </x:c>
      <x:c r="D3" s="3" t="str">
        <x:v>Local development</x:v>
      </x:c>
      <x:c r="E3" s="7" t="str">
        <x:v>Done</x:v>
      </x:c>
      <x:c r="F3" s="7" t="str">
        <x:v>Coordinator</x:v>
      </x:c>
      <x:c r="G3" s="3" t="str">
        <x:v>None</x:v>
      </x:c>
      <x:c r="H3" s="3" t="str">
        <x:v>Workbook validation rather than application tests.: complete acceptance and review evidence</x:v>
      </x:c>
      <x:c r="I3" s="7" t="str"/>
      <x:c r="J3" s="3" t="str">
        <x:v>1. Preserve and hash the three input files.
2. Create the six-tab tracker with the schemas and formulas above.
3. Populate this plan’s tasks, steps, decisions, requirements and evidence requirements.
4. Validate the saved workbook and generated JSON snapshot.</x:v>
      </x:c>
      <x:c r="K3" s="7" t="str">
        <x:v>Acceptance reviewed against captured evidence. No new engineering capability is claimed.</x:v>
      </x:c>
      <x:c r="L3" s="3" t="str">
        <x:v>Planning</x:v>
      </x:c>
      <x:c r="M3" s="3" t="str">
        <x:v>Initial</x:v>
      </x:c>
      <x:c r="N3" s="3" t="str">
        <x:v>[]</x:v>
      </x:c>
      <x:c r="O3" s="3" t="str">
        <x:v>[]</x:v>
      </x:c>
      <x:c r="P3" s="3" t="str">
        <x:v>["CC-E001","CC-E149","CC-E150","CC-E151"]</x:v>
      </x:c>
      <x:c r="Q3" s="3" t="str">
        <x:v>["CC-R001","CC-R002","CC-R003","CC-R004","CC-R005","CC-R006","CC-R007"]</x:v>
      </x:c>
      <x:c r="R3" s="3" t="n">
        <x:v>0</x:v>
      </x:c>
      <x:c r="S3" s="3" t="str">
        <x:v>CC_Workshop_Implementation_Plan.md#cc-t000--establish-the-automotive-rag-tracker</x:v>
      </x:c>
      <x:c r="T3" s="3" t="str">
        <x:v>1. Original workbook unchanged.
2. No legacy completion claims or approvals.
3. All IDs unique and dependency references valid.
4. Initial engineering progress is zero.
5. Research evidence is recorded separately.
6. Every sheet is visually readable.
7. The JSON export represents the same snapshot as Excel.</x:v>
      </x:c>
      <x:c r="U3" s="11" t="n">
        <x:f>COUNTIF(tblSteps[Task],[@Task])</x:f>
        <x:v>4</x:v>
      </x:c>
      <x:c r="V3" s="11" t="n">
        <x:f>COUNTIFS(tblSteps[Task],[@Task],tblSteps[Status],"Done")</x:f>
        <x:v>4</x:v>
      </x:c>
      <x:c r="W3" s="11" t="n">
        <x:f>COUNTIFS(tblSteps[Task],[@Task],tblSteps[Status],"Skipped")+COUNTIFS(tblSteps[Task],[@Task],tblSteps[Status],"N/A")</x:f>
        <x:v>0</x:v>
      </x:c>
      <x:c r="X3" s="12" t="n">
        <x:f>IF([@Step total]=0,0,([@Steps done]+[@Steps waived])/[@Step total])</x:f>
        <x:v>1</x:v>
      </x:c>
      <x:c r="Y3" s="12" t="n">
        <x:f>IF([@Step total]=0,0,[@Steps done]/[@Step total])</x:f>
        <x:v>1</x:v>
      </x:c>
      <x:c r="Z3" s="7" t="str">
        <x:v>Passed</x:v>
      </x:c>
      <x:c r="AA3" s="8" t="n">
        <x:v>46275.52359466435</x:v>
      </x:c>
      <x:c r="AB3" s="3" t="str">
        <x:f>IF(AND([@Status]="Done",OR([@Step total]=0,[@Closed step ratio]&lt;&gt;1,[@Gate state]&lt;&gt;"Passed")),"Review completion","")</x:f>
      </x:c>
    </x:row>
    <x:row r="4" ht="108" customHeight="1">
      <x:c r="A4" s="3" t="str">
        <x:v>CC-T001</x:v>
      </x:c>
      <x:c r="B4" s="3" t="str">
        <x:v>M0 — Baseline</x:v>
      </x:c>
      <x:c r="C4" s="3" t="str">
        <x:v>Reproduce and document the repository baseline</x:v>
      </x:c>
      <x:c r="D4" s="3" t="str">
        <x:v>Local development</x:v>
      </x:c>
      <x:c r="E4" s="7" t="str">
        <x:v>Done</x:v>
      </x:c>
      <x:c r="F4" s="7" t="str">
        <x:v>Coordinator</x:v>
      </x:c>
      <x:c r="G4" s="3" t="str">
        <x:v>CC-T000</x:v>
      </x:c>
      <x:c r="H4" s="3" t="str">
        <x:v>baseline: complete acceptance and review evidence</x:v>
      </x:c>
      <x:c r="I4" s="7" t="str"/>
      <x:c r="J4" s="3" t="str">
        <x:v>1. Obtain a working checkout and record its exact revision without replacing unrelated work.
2. Inspect dependency declarations, entry points, existing tests and data formats.
3. Run available baseline checks in an isolated development environment.
4. Produce a keep/adapt/replace matrix and capture failures.</x:v>
      </x:c>
      <x:c r="K4" s="7" t="str">
        <x:v>Acceptance reviewed against captured evidence. No new engineering capability is claimed.</x:v>
      </x:c>
      <x:c r="L4" s="3" t="str">
        <x:v>Research</x:v>
      </x:c>
      <x:c r="M4" s="3" t="str">
        <x:v>Initial</x:v>
      </x:c>
      <x:c r="N4" s="3" t="str">
        <x:v>["CC-T000"]</x:v>
      </x:c>
      <x:c r="O4" s="3" t="str">
        <x:v>[]</x:v>
      </x:c>
      <x:c r="P4" s="3" t="str">
        <x:v>["CC-E005","CC-E006","CC-E007","CC-E008"]</x:v>
      </x:c>
      <x:c r="Q4" s="3" t="str">
        <x:v>["CC-R008","CC-R009","CC-R010","CC-R011","CC-R012"]</x:v>
      </x:c>
      <x:c r="R4" s="3" t="n">
        <x:v>10</x:v>
      </x:c>
      <x:c r="S4" s="3" t="str">
        <x:v>CC_Workshop_Implementation_Plan.md#cc-t001--reproduce-and-document-the-repository-baseline</x:v>
      </x:c>
      <x:c r="T4" s="3" t="str">
        <x:v>1. Source revision and environment recorded.
2. Declared package versions distinguished from successfully resolved packages.
3. The Chroma call-signature mismatch has a reproducible regression fixture.
4. Existing permissive applicability tests are identified.
5. No supplied executable is treated as trusted merely because it exists.</x:v>
      </x:c>
      <x:c r="U4" s="11" t="n">
        <x:f>COUNTIF(tblSteps[Task],[@Task])</x:f>
        <x:v>4</x:v>
      </x:c>
      <x:c r="V4" s="11" t="n">
        <x:f>COUNTIFS(tblSteps[Task],[@Task],tblSteps[Status],"Done")</x:f>
        <x:v>4</x:v>
      </x:c>
      <x:c r="W4" s="11" t="n">
        <x:f>COUNTIFS(tblSteps[Task],[@Task],tblSteps[Status],"Skipped")+COUNTIFS(tblSteps[Task],[@Task],tblSteps[Status],"N/A")</x:f>
        <x:v>0</x:v>
      </x:c>
      <x:c r="X4" s="12" t="n">
        <x:f>IF([@Step total]=0,0,([@Steps done]+[@Steps waived])/[@Step total])</x:f>
        <x:v>1</x:v>
      </x:c>
      <x:c r="Y4" s="12" t="n">
        <x:f>IF([@Step total]=0,0,[@Steps done]/[@Step total])</x:f>
        <x:v>1</x:v>
      </x:c>
      <x:c r="Z4" s="7" t="str">
        <x:v>Passed</x:v>
      </x:c>
      <x:c r="AA4" s="8" t="n">
        <x:v>46275.5170659375</x:v>
      </x:c>
      <x:c r="AB4" s="3" t="str">
        <x:f>IF(AND([@Status]="Done",OR([@Step total]=0,[@Closed step ratio]&lt;&gt;1,[@Gate state]&lt;&gt;"Passed")),"Review completion","")</x:f>
      </x:c>
    </x:row>
    <x:row r="5" ht="132" customHeight="1">
      <x:c r="A5" s="3" t="str">
        <x:v>CC-T002</x:v>
      </x:c>
      <x:c r="B5" s="3" t="str">
        <x:v>M0 — Baseline</x:v>
      </x:c>
      <x:c r="C5" s="3" t="str">
        <x:v>Establish runtime contracts and repair baseline defects</x:v>
      </x:c>
      <x:c r="D5" s="3" t="str">
        <x:v>Local development</x:v>
      </x:c>
      <x:c r="E5" s="7" t="str">
        <x:v>Done</x:v>
      </x:c>
      <x:c r="F5" s="7" t="str">
        <x:v>Coordinator</x:v>
      </x:c>
      <x:c r="G5" s="3" t="str">
        <x:v>CC-T001</x:v>
      </x:c>
      <x:c r="H5" s="3" t="str">
        <x:v>runtime_contracts: complete acceptance and review evidence</x:v>
      </x:c>
      <x:c r="I5" s="7" t="str">
        <x:v>88934b493a27e67e77052fd064757278523b40be</x:v>
      </x:c>
      <x:c r="J5" s="3" t="str">
        <x:v>1. Introduce the application package and shared request/result contracts.
2. Repair the retrieval method mismatch.
3. Move logs and writable state outside application installation paths.
4. Make server binding explicitly loopback by default.
5. Split required runtime, optional ingestion, development and packaging dependencies.
6. Establish reproducible dependency locks after successful resolution.</x:v>
      </x:c>
      <x:c r="K5" s="7" t="str">
        <x:v>Acceptance satisfied for the resolved Windows/Python 3.12.14 development runtime. Real installer, packaged native webview, provisioned models and other hardware remain later gates. No Python 3.11 or packaging-extra resolution claimed.</x:v>
      </x:c>
      <x:c r="L5" s="3" t="str">
        <x:v>Engineering</x:v>
      </x:c>
      <x:c r="M5" s="3" t="str">
        <x:v>Initial</x:v>
      </x:c>
      <x:c r="N5" s="3" t="str">
        <x:v>["CC-T001"]</x:v>
      </x:c>
      <x:c r="O5" s="3" t="str">
        <x:v>[]</x:v>
      </x:c>
      <x:c r="P5" s="3" t="str">
        <x:v>["CC-E009","CC-E010","CC-E011","CC-E012"]</x:v>
      </x:c>
      <x:c r="Q5" s="3" t="str">
        <x:v>["CC-R013","CC-R014","CC-R015","CC-R016"]</x:v>
      </x:c>
      <x:c r="R5" s="3" t="n">
        <x:v>20</x:v>
      </x:c>
      <x:c r="S5" s="3" t="str">
        <x:v>CC_Workshop_Implementation_Plan.md#cc-t002--establish-runtime-contracts-and-repair-baseline-defects</x:v>
      </x:c>
      <x:c r="T5" s="3" t="str">
        <x:v>1. Supported query backends return a valid response or structured unavailable state.
2. Fresh startup succeeds without a pre-existing logs directory.
3. No cloud embedding branch activates in the selected runtime.
4. Required desktop operation does not install optional video transcription dependencies.</x:v>
      </x:c>
      <x:c r="U5" s="11" t="n">
        <x:f>COUNTIF(tblSteps[Task],[@Task])</x:f>
        <x:v>4</x:v>
      </x:c>
      <x:c r="V5" s="11" t="n">
        <x:f>COUNTIFS(tblSteps[Task],[@Task],tblSteps[Status],"Done")</x:f>
        <x:v>4</x:v>
      </x:c>
      <x:c r="W5" s="11" t="n">
        <x:f>COUNTIFS(tblSteps[Task],[@Task],tblSteps[Status],"Skipped")+COUNTIFS(tblSteps[Task],[@Task],tblSteps[Status],"N/A")</x:f>
        <x:v>0</x:v>
      </x:c>
      <x:c r="X5" s="12" t="n">
        <x:f>IF([@Step total]=0,0,([@Steps done]+[@Steps waived])/[@Step total])</x:f>
        <x:v>1</x:v>
      </x:c>
      <x:c r="Y5" s="12" t="n">
        <x:f>IF([@Step total]=0,0,[@Steps done]/[@Step total])</x:f>
        <x:v>1</x:v>
      </x:c>
      <x:c r="Z5" s="7" t="str">
        <x:v>Passed</x:v>
      </x:c>
      <x:c r="AA5" s="8" t="n">
        <x:v>46275.534289814816</x:v>
      </x:c>
      <x:c r="AB5" s="3" t="str">
        <x:f>IF(AND([@Status]="Done",OR([@Step total]=0,[@Closed step ratio]&lt;&gt;1,[@Gate state]&lt;&gt;"Passed")),"Review completion","")</x:f>
      </x:c>
    </x:row>
    <x:row r="6" ht="96" customHeight="1">
      <x:c r="A6" s="3" t="str">
        <x:v>CC-T003</x:v>
      </x:c>
      <x:c r="B6" s="3" t="str">
        <x:v>M1 — Vehicle and source boundaries</x:v>
      </x:c>
      <x:c r="C6" s="3" t="str">
        <x:v>Implement the Garage storage boundary</x:v>
      </x:c>
      <x:c r="D6" s="3" t="str">
        <x:v>Local development</x:v>
      </x:c>
      <x:c r="E6" s="7" t="str">
        <x:v>Done</x:v>
      </x:c>
      <x:c r="F6" s="7" t="str">
        <x:v>Coordinator</x:v>
      </x:c>
      <x:c r="G6" s="3" t="str">
        <x:v>CC-T002</x:v>
      </x:c>
      <x:c r="H6" s="3" t="str">
        <x:v>garage_isolation: complete acceptance and review evidence</x:v>
      </x:c>
      <x:c r="I6" s="7" t="str">
        <x:v>1e87202a7ed8923e270090aa87f22a4947a68bcc</x:v>
      </x:c>
      <x:c r="J6" s="3" t="str">
        <x:v>1. Add Garage registry and creation/read/update operations.
2. Create one SQLite database and vector-storage root per confirmed VIN.
3. Add immutable VehicleContext.
4. Replace global vehicle state in storage and retrieval entry points.
5. Add scoped file resolution and single-instance storage ownership.</x:v>
      </x:c>
      <x:c r="K6" s="7" t="str">
        <x:v>Closed after independent review findings were fixed in commit 1e87202. Fresh focused and full-suite verification passed; Windows directory-link escape fixture remains skipped because this account lacks link creation rights.</x:v>
      </x:c>
      <x:c r="L6" s="3" t="str">
        <x:v>Engineering</x:v>
      </x:c>
      <x:c r="M6" s="3" t="str">
        <x:v>Initial</x:v>
      </x:c>
      <x:c r="N6" s="3" t="str">
        <x:v>["CC-T002"]</x:v>
      </x:c>
      <x:c r="O6" s="3" t="str">
        <x:v>[]</x:v>
      </x:c>
      <x:c r="P6" s="3" t="str">
        <x:v>["CC-E013","CC-E014","CC-E015","CC-E016"]</x:v>
      </x:c>
      <x:c r="Q6" s="3" t="str">
        <x:v>["CC-R017","CC-R018","CC-R019","CC-R020","CC-R021"]</x:v>
      </x:c>
      <x:c r="R6" s="3" t="n">
        <x:v>30</x:v>
      </x:c>
      <x:c r="S6" s="3" t="str">
        <x:v>CC_Workshop_Implementation_Plan.md#cc-t003--implement-the-garage-storage-boundary</x:v>
      </x:c>
      <x:c r="T6" s="3" t="str">
        <x:v>1. Two Garages with conflicting private data remain isolated.
2. Cross-Garage record IDs cannot retrieve content.
3. Traversal and escaped storage paths are rejected.
4. Restart preserves both Garages.
5. Concurrent requests do not change one another’s vehicle context.</x:v>
      </x:c>
      <x:c r="U6" s="11" t="n">
        <x:f>COUNTIF(tblSteps[Task],[@Task])</x:f>
        <x:v>4</x:v>
      </x:c>
      <x:c r="V6" s="11" t="n">
        <x:f>COUNTIFS(tblSteps[Task],[@Task],tblSteps[Status],"Done")</x:f>
        <x:v>4</x:v>
      </x:c>
      <x:c r="W6" s="11" t="n">
        <x:f>COUNTIFS(tblSteps[Task],[@Task],tblSteps[Status],"Skipped")+COUNTIFS(tblSteps[Task],[@Task],tblSteps[Status],"N/A")</x:f>
        <x:v>0</x:v>
      </x:c>
      <x:c r="X6" s="12" t="n">
        <x:f>IF([@Step total]=0,0,([@Steps done]+[@Steps waived])/[@Step total])</x:f>
        <x:v>1</x:v>
      </x:c>
      <x:c r="Y6" s="12" t="n">
        <x:f>IF([@Step total]=0,0,[@Steps done]/[@Step total])</x:f>
        <x:v>1</x:v>
      </x:c>
      <x:c r="Z6" s="7" t="str">
        <x:v>Passed</x:v>
      </x:c>
      <x:c r="AA6" s="8" t="n">
        <x:v>46279.50255953704</x:v>
      </x:c>
      <x:c r="AB6" s="3" t="str">
        <x:f>IF(AND([@Status]="Done",OR([@Step total]=0,[@Closed step ratio]&lt;&gt;1,[@Gate state]&lt;&gt;"Passed")),"Review completion","")</x:f>
      </x:c>
    </x:row>
    <x:row r="7" ht="96" customHeight="1">
      <x:c r="A7" s="3" t="str">
        <x:v>CC-T004</x:v>
      </x:c>
      <x:c r="B7" s="3" t="str">
        <x:v>M1 — Vehicle and source boundaries</x:v>
      </x:c>
      <x:c r="C7" s="3" t="str">
        <x:v>Add vehicle profiles and applicability decisions</x:v>
      </x:c>
      <x:c r="D7" s="3" t="str">
        <x:v>Local development</x:v>
      </x:c>
      <x:c r="E7" s="7" t="str">
        <x:v>Not started</x:v>
      </x:c>
      <x:c r="F7" s="7" t="str"/>
      <x:c r="G7" s="3" t="str">
        <x:v>CC-T003</x:v>
      </x:c>
      <x:c r="H7" s="3" t="str">
        <x:v>vehicle_applicability: complete acceptance and review evidence</x:v>
      </x:c>
      <x:c r="I7" s="7" t="str"/>
      <x:c r="J7" s="3" t="str">
        <x:v>1. Store vehicle configuration fields with individual confirmation evidence.
2. Add identification drafts.
3. Introduce applicability results: confirmed match, confirmed mismatch and unknown.
4. Replace legacy fail-open behavior on repair paths.
5. Record profile revisions and invalidate dependent results.</x:v>
      </x:c>
      <x:c r="K7" s="7" t="str"/>
      <x:c r="L7" s="3" t="str">
        <x:v>Engineering</x:v>
      </x:c>
      <x:c r="M7" s="3" t="str">
        <x:v>Initial</x:v>
      </x:c>
      <x:c r="N7" s="3" t="str">
        <x:v>["CC-T003"]</x:v>
      </x:c>
      <x:c r="O7" s="3" t="str">
        <x:v>[]</x:v>
      </x:c>
      <x:c r="P7" s="3" t="str">
        <x:v>["CC-E017","CC-E018","CC-E019","CC-E020"]</x:v>
      </x:c>
      <x:c r="Q7" s="3" t="str">
        <x:v>["CC-R022","CC-R023","CC-R024","CC-R025"]</x:v>
      </x:c>
      <x:c r="R7" s="3" t="n">
        <x:v>40</x:v>
      </x:c>
      <x:c r="S7" s="3" t="str">
        <x:v>CC_Workshop_Implementation_Plan.md#cc-t004--add-vehicle-profiles-and-applicability-decisions</x:v>
      </x:c>
      <x:c r="T7" s="3" t="str">
        <x:v>1. Missing metadata produces unknown applicability.
2. A wrong transmission, engine, market or PR code is excluded.
3. Historical vehicle descriptions do not become confirmed fields automatically.
4. A profile change makes dependent procedure approvals stale.</x:v>
      </x:c>
      <x:c r="U7" s="11" t="n">
        <x:f>COUNTIF(tblSteps[Task],[@Task])</x:f>
        <x:v>4</x:v>
      </x:c>
      <x:c r="V7" s="11" t="n">
        <x:f>COUNTIFS(tblSteps[Task],[@Task],tblSteps[Status],"Done")</x:f>
        <x:v>0</x:v>
      </x:c>
      <x:c r="W7" s="11" t="n">
        <x:f>COUNTIFS(tblSteps[Task],[@Task],tblSteps[Status],"Skipped")+COUNTIFS(tblSteps[Task],[@Task],tblSteps[Status],"N/A")</x:f>
        <x:v>0</x:v>
      </x:c>
      <x:c r="X7" s="12" t="n">
        <x:f>IF([@Step total]=0,0,([@Steps done]+[@Steps waived])/[@Step total])</x:f>
        <x:v>0</x:v>
      </x:c>
      <x:c r="Y7" s="12" t="n">
        <x:f>IF([@Step total]=0,0,[@Steps done]/[@Step total])</x:f>
        <x:v>0</x:v>
      </x:c>
      <x:c r="Z7" s="7" t="str">
        <x:v>Not evaluated</x:v>
      </x:c>
      <x:c r="AA7" s="8" t="n">
        <x:v>46275.51530535879</x:v>
      </x:c>
      <x:c r="AB7" s="3" t="str">
        <x:f>IF(AND([@Status]="Done",OR([@Step total]=0,[@Closed step ratio]&lt;&gt;1,[@Gate state]&lt;&gt;"Passed")),"Review completion","")</x:f>
      </x:c>
    </x:row>
    <x:row r="8" ht="84" customHeight="1">
      <x:c r="A8" s="3" t="str">
        <x:v>CC-T005</x:v>
      </x:c>
      <x:c r="B8" s="3" t="str">
        <x:v>M1 — Vehicle and source boundaries</x:v>
      </x:c>
      <x:c r="C8" s="3" t="str">
        <x:v>Create canonical source and provenance records</x:v>
      </x:c>
      <x:c r="D8" s="3" t="str">
        <x:v>Local development</x:v>
      </x:c>
      <x:c r="E8" s="7" t="str">
        <x:v>Not started</x:v>
      </x:c>
      <x:c r="F8" s="7" t="str"/>
      <x:c r="G8" s="3" t="str">
        <x:v>CC-T003</x:v>
      </x:c>
      <x:c r="H8" s="3" t="str">
        <x:v>source_provenance: complete acceptance and review evidence</x:v>
      </x:c>
      <x:c r="I8" s="7" t="str"/>
      <x:c r="J8" s="3" t="str">
        <x:v>1. Register immutable originals by hash.
2. Separate source role, authority, applicability and access scope.
3. Represent pages, evidence spans and derivative relationships.
4. Add explicit page maps for transformed documents.
5. Include a versioned media-reference type that can later represent video timestamps.</x:v>
      </x:c>
      <x:c r="K8" s="7" t="str"/>
      <x:c r="L8" s="3" t="str">
        <x:v>Engineering</x:v>
      </x:c>
      <x:c r="M8" s="3" t="str">
        <x:v>Initial</x:v>
      </x:c>
      <x:c r="N8" s="3" t="str">
        <x:v>["CC-T003"]</x:v>
      </x:c>
      <x:c r="O8" s="3" t="str">
        <x:v>[]</x:v>
      </x:c>
      <x:c r="P8" s="3" t="str">
        <x:v>["CC-E021","CC-E022","CC-E023","CC-E024"]</x:v>
      </x:c>
      <x:c r="Q8" s="3" t="str">
        <x:v>["CC-R026","CC-R027","CC-R028","CC-R029"]</x:v>
      </x:c>
      <x:c r="R8" s="3" t="n">
        <x:v>50</x:v>
      </x:c>
      <x:c r="S8" s="3" t="str">
        <x:v>CC_Workshop_Implementation_Plan.md#cc-t005--create-canonical-source-and-provenance-records</x:v>
      </x:c>
      <x:c r="T8" s="3" t="str">
        <x:v>1. Duplicate identical files do not create conflicting originals.
2. Derivatives resolve to their canonical source.
3. Printed labels and physical page numbers remain distinct.
4. A source cannot become available to a Garage through filename similarity alone.</x:v>
      </x:c>
      <x:c r="U8" s="11" t="n">
        <x:f>COUNTIF(tblSteps[Task],[@Task])</x:f>
        <x:v>4</x:v>
      </x:c>
      <x:c r="V8" s="11" t="n">
        <x:f>COUNTIFS(tblSteps[Task],[@Task],tblSteps[Status],"Done")</x:f>
        <x:v>0</x:v>
      </x:c>
      <x:c r="W8" s="11" t="n">
        <x:f>COUNTIFS(tblSteps[Task],[@Task],tblSteps[Status],"Skipped")+COUNTIFS(tblSteps[Task],[@Task],tblSteps[Status],"N/A")</x:f>
        <x:v>0</x:v>
      </x:c>
      <x:c r="X8" s="12" t="n">
        <x:f>IF([@Step total]=0,0,([@Steps done]+[@Steps waived])/[@Step total])</x:f>
        <x:v>0</x:v>
      </x:c>
      <x:c r="Y8" s="12" t="n">
        <x:f>IF([@Step total]=0,0,[@Steps done]/[@Step total])</x:f>
        <x:v>0</x:v>
      </x:c>
      <x:c r="Z8" s="7" t="str">
        <x:v>Not evaluated</x:v>
      </x:c>
      <x:c r="AA8" s="8" t="n">
        <x:v>46275.51530535879</x:v>
      </x:c>
      <x:c r="AB8" s="3" t="str">
        <x:f>IF(AND([@Status]="Done",OR([@Step total]=0,[@Closed step ratio]&lt;&gt;1,[@Gate state]&lt;&gt;"Passed")),"Review completion","")</x:f>
      </x:c>
    </x:row>
    <x:row r="9" ht="72" customHeight="1">
      <x:c r="A9" s="3" t="str">
        <x:v>CC-T006</x:v>
      </x:c>
      <x:c r="B9" s="3" t="str">
        <x:v>M1 — Vehicle and source boundaries</x:v>
      </x:c>
      <x:c r="C9" s="3" t="str">
        <x:v>Add persistent import jobs and recovery</x:v>
      </x:c>
      <x:c r="D9" s="3" t="str">
        <x:v>Local development</x:v>
      </x:c>
      <x:c r="E9" s="7" t="str">
        <x:v>Not started</x:v>
      </x:c>
      <x:c r="F9" s="7" t="str"/>
      <x:c r="G9" s="3" t="str">
        <x:v>CC-T003, CC-T005</x:v>
      </x:c>
      <x:c r="H9" s="3" t="str">
        <x:v>import_recovery: complete acceptance and review evidence</x:v>
      </x:c>
      <x:c r="I9" s="7" t="str"/>
      <x:c r="J9" s="3" t="str">
        <x:v>1. Persist job inputs, processing versions, stages and checkpoints.
2. Add cancellation, retries and quarantine.
3. Serialize publication to active indexes.
4. Keep extraction subprocess output separate from live database writes.</x:v>
      </x:c>
      <x:c r="K9" s="7" t="str"/>
      <x:c r="L9" s="3" t="str">
        <x:v>Engineering</x:v>
      </x:c>
      <x:c r="M9" s="3" t="str">
        <x:v>Initial</x:v>
      </x:c>
      <x:c r="N9" s="3" t="str">
        <x:v>["CC-T003","CC-T005"]</x:v>
      </x:c>
      <x:c r="O9" s="3" t="str">
        <x:v>[]</x:v>
      </x:c>
      <x:c r="P9" s="3" t="str">
        <x:v>["CC-E025","CC-E026","CC-E027","CC-E028"]</x:v>
      </x:c>
      <x:c r="Q9" s="3" t="str">
        <x:v>["CC-R030","CC-R031","CC-R032","CC-R033"]</x:v>
      </x:c>
      <x:c r="R9" s="3" t="n">
        <x:v>60</x:v>
      </x:c>
      <x:c r="S9" s="3" t="str">
        <x:v>CC_Workshop_Implementation_Plan.md#cc-t006--add-persistent-import-jobs-and-recovery</x:v>
      </x:c>
      <x:c r="T9" s="3" t="str">
        <x:v>1. Restart during extraction or indexing resumes safely.
2. Repeated execution does not duplicate approved records.
3. A cancelled import does not publish partial evidence.
4. Disk-full and corrupt-input errors preserve existing usable data.</x:v>
      </x:c>
      <x:c r="U9" s="11" t="n">
        <x:f>COUNTIF(tblSteps[Task],[@Task])</x:f>
        <x:v>4</x:v>
      </x:c>
      <x:c r="V9" s="11" t="n">
        <x:f>COUNTIFS(tblSteps[Task],[@Task],tblSteps[Status],"Done")</x:f>
        <x:v>0</x:v>
      </x:c>
      <x:c r="W9" s="11" t="n">
        <x:f>COUNTIFS(tblSteps[Task],[@Task],tblSteps[Status],"Skipped")+COUNTIFS(tblSteps[Task],[@Task],tblSteps[Status],"N/A")</x:f>
        <x:v>0</x:v>
      </x:c>
      <x:c r="X9" s="12" t="n">
        <x:f>IF([@Step total]=0,0,([@Steps done]+[@Steps waived])/[@Step total])</x:f>
        <x:v>0</x:v>
      </x:c>
      <x:c r="Y9" s="12" t="n">
        <x:f>IF([@Step total]=0,0,[@Steps done]/[@Step total])</x:f>
        <x:v>0</x:v>
      </x:c>
      <x:c r="Z9" s="7" t="str">
        <x:v>Not evaluated</x:v>
      </x:c>
      <x:c r="AA9" s="8" t="n">
        <x:v>46275.51530535879</x:v>
      </x:c>
      <x:c r="AB9" s="3" t="str">
        <x:f>IF(AND([@Status]="Done",OR([@Step total]=0,[@Closed step ratio]&lt;&gt;1,[@Gate state]&lt;&gt;"Passed")),"Review completion","")</x:f>
      </x:c>
    </x:row>
    <x:row r="10" ht="96" customHeight="1">
      <x:c r="A10" s="3" t="str">
        <x:v>CC-T007</x:v>
      </x:c>
      <x:c r="B10" s="3" t="str">
        <x:v>M1 — Vehicle and source boundaries</x:v>
      </x:c>
      <x:c r="C10" s="3" t="str">
        <x:v>Adapt PDF extraction and complete-context chunking</x:v>
      </x:c>
      <x:c r="D10" s="3" t="str">
        <x:v>Local development</x:v>
      </x:c>
      <x:c r="E10" s="7" t="str">
        <x:v>Not started</x:v>
      </x:c>
      <x:c r="F10" s="7" t="str"/>
      <x:c r="G10" s="3" t="str">
        <x:v>CC-T004, CC-T005, CC-T006</x:v>
      </x:c>
      <x:c r="H10" s="3" t="str">
        <x:v>manual_ingestion: complete acceptance and review evidence</x:v>
      </x:c>
      <x:c r="I10" s="7" t="str"/>
      <x:c r="J10" s="3" t="str">
        <x:v>1. Reuse suitable existing manual extraction and review utilities.
2. Preserve warnings, headings, units, footnotes and cross-references.
3. Associate chunks with parent sections and procedure context.
4. Add OCR quality and empty-page review rules.
5. Keep incomplete historical dataset records quarantined until reconciled.</x:v>
      </x:c>
      <x:c r="K10" s="7" t="str"/>
      <x:c r="L10" s="3" t="str">
        <x:v>Engineering</x:v>
      </x:c>
      <x:c r="M10" s="3" t="str">
        <x:v>Initial</x:v>
      </x:c>
      <x:c r="N10" s="3" t="str">
        <x:v>["CC-T004","CC-T005","CC-T006"]</x:v>
      </x:c>
      <x:c r="O10" s="3" t="str">
        <x:v>[]</x:v>
      </x:c>
      <x:c r="P10" s="3" t="str">
        <x:v>["CC-E029","CC-E030","CC-E031","CC-E032"]</x:v>
      </x:c>
      <x:c r="Q10" s="3" t="str">
        <x:v>["CC-R034","CC-R035","CC-R036","CC-R037"]</x:v>
      </x:c>
      <x:c r="R10" s="3" t="n">
        <x:v>70</x:v>
      </x:c>
      <x:c r="S10" s="3" t="str">
        <x:v>CC_Workshop_Implementation_Plan.md#cc-t007--adapt-pdf-extraction-and-complete-context-chunking</x:v>
      </x:c>
      <x:c r="T10" s="3" t="str">
        <x:v>1. Multi-page tables retain header and unit context.
2. Warning pages and replacement instructions are not silently discarded.
3. Poor OCR produces review work.
4. Source hashes and page counts reconcile with the import manifest.</x:v>
      </x:c>
      <x:c r="U10" s="11" t="n">
        <x:f>COUNTIF(tblSteps[Task],[@Task])</x:f>
        <x:v>4</x:v>
      </x:c>
      <x:c r="V10" s="11" t="n">
        <x:f>COUNTIFS(tblSteps[Task],[@Task],tblSteps[Status],"Done")</x:f>
        <x:v>0</x:v>
      </x:c>
      <x:c r="W10" s="11" t="n">
        <x:f>COUNTIFS(tblSteps[Task],[@Task],tblSteps[Status],"Skipped")+COUNTIFS(tblSteps[Task],[@Task],tblSteps[Status],"N/A")</x:f>
        <x:v>0</x:v>
      </x:c>
      <x:c r="X10" s="12" t="n">
        <x:f>IF([@Step total]=0,0,([@Steps done]+[@Steps waived])/[@Step total])</x:f>
        <x:v>0</x:v>
      </x:c>
      <x:c r="Y10" s="12" t="n">
        <x:f>IF([@Step total]=0,0,[@Steps done]/[@Step total])</x:f>
        <x:v>0</x:v>
      </x:c>
      <x:c r="Z10" s="7" t="str">
        <x:v>Not evaluated</x:v>
      </x:c>
      <x:c r="AA10" s="8" t="n">
        <x:v>46275.51530535879</x:v>
      </x:c>
      <x:c r="AB10" s="3" t="str">
        <x:f>IF(AND([@Status]="Done",OR([@Step total]=0,[@Closed step ratio]&lt;&gt;1,[@Gate state]&lt;&gt;"Passed")),"Review completion","")</x:f>
      </x:c>
    </x:row>
    <x:row r="11" ht="60" customHeight="1">
      <x:c r="A11" s="3" t="str">
        <x:v>CC-T008</x:v>
      </x:c>
      <x:c r="B11" s="3" t="str">
        <x:v>M1 — Vehicle and source boundaries</x:v>
      </x:c>
      <x:c r="C11" s="3" t="str">
        <x:v>Preserve figures, legends and image provenance</x:v>
      </x:c>
      <x:c r="D11" s="3" t="str">
        <x:v>Local development</x:v>
      </x:c>
      <x:c r="E11" s="7" t="str">
        <x:v>Not started</x:v>
      </x:c>
      <x:c r="F11" s="7" t="str"/>
      <x:c r="G11" s="3" t="str">
        <x:v>CC-T007</x:v>
      </x:c>
      <x:c r="H11" s="3" t="str">
        <x:v>figure_provenance: complete acceptance and review evidence</x:v>
      </x:c>
      <x:c r="I11" s="7" t="str"/>
      <x:c r="J11" s="3" t="str">
        <x:v>1. Register page renders and figure crops.
2. Record coordinates, image hashes, captions and legends.
3. Preserve orientation.
4. Track whether a crop is adequate for its intended procedure step.</x:v>
      </x:c>
      <x:c r="K11" s="7" t="str"/>
      <x:c r="L11" s="3" t="str">
        <x:v>Engineering</x:v>
      </x:c>
      <x:c r="M11" s="3" t="str">
        <x:v>Initial</x:v>
      </x:c>
      <x:c r="N11" s="3" t="str">
        <x:v>["CC-T007"]</x:v>
      </x:c>
      <x:c r="O11" s="3" t="str">
        <x:v>[]</x:v>
      </x:c>
      <x:c r="P11" s="3" t="str">
        <x:v>["CC-E033","CC-E034","CC-E035","CC-E036"]</x:v>
      </x:c>
      <x:c r="Q11" s="3" t="str">
        <x:v>["CC-R038","CC-R039","CC-R040","CC-R041"]</x:v>
      </x:c>
      <x:c r="R11" s="3" t="n">
        <x:v>80</x:v>
      </x:c>
      <x:c r="S11" s="3" t="str">
        <x:v>CC_Workshop_Implementation_Plan.md#cc-t008--preserve-figures-legends-and-image-provenance</x:v>
      </x:c>
      <x:c r="T11" s="3" t="str">
        <x:v>1. Every figure resolves to the correct original page.
2. A crop cannot substitute a figure from another source or revision.
3. Figure rotation and legend loss are detected in review fixtures.
4. Missing figures remain explicit.</x:v>
      </x:c>
      <x:c r="U11" s="11" t="n">
        <x:f>COUNTIF(tblSteps[Task],[@Task])</x:f>
        <x:v>4</x:v>
      </x:c>
      <x:c r="V11" s="11" t="n">
        <x:f>COUNTIFS(tblSteps[Task],[@Task],tblSteps[Status],"Done")</x:f>
        <x:v>0</x:v>
      </x:c>
      <x:c r="W11" s="11" t="n">
        <x:f>COUNTIFS(tblSteps[Task],[@Task],tblSteps[Status],"Skipped")+COUNTIFS(tblSteps[Task],[@Task],tblSteps[Status],"N/A")</x:f>
        <x:v>0</x:v>
      </x:c>
      <x:c r="X11" s="12" t="n">
        <x:f>IF([@Step total]=0,0,([@Steps done]+[@Steps waived])/[@Step total])</x:f>
        <x:v>0</x:v>
      </x:c>
      <x:c r="Y11" s="12" t="n">
        <x:f>IF([@Step total]=0,0,[@Steps done]/[@Step total])</x:f>
        <x:v>0</x:v>
      </x:c>
      <x:c r="Z11" s="7" t="str">
        <x:v>Not evaluated</x:v>
      </x:c>
      <x:c r="AA11" s="8" t="n">
        <x:v>46275.51530535879</x:v>
      </x:c>
      <x:c r="AB11" s="3" t="str">
        <x:f>IF(AND([@Status]="Done",OR([@Step total]=0,[@Closed step ratio]&lt;&gt;1,[@Gate state]&lt;&gt;"Passed")),"Review completion","")</x:f>
      </x:c>
    </x:row>
    <x:row r="12" ht="84" customHeight="1">
      <x:c r="A12" s="3" t="str">
        <x:v>CC-T009</x:v>
      </x:c>
      <x:c r="B12" s="3" t="str">
        <x:v>M2 — Local inference and retrieval</x:v>
      </x:c>
      <x:c r="C12" s="3" t="str">
        <x:v>Implement the inference provider contract</x:v>
      </x:c>
      <x:c r="D12" s="3" t="str">
        <x:v>Local development</x:v>
      </x:c>
      <x:c r="E12" s="7" t="str">
        <x:v>Done</x:v>
      </x:c>
      <x:c r="F12" s="7" t="str">
        <x:v>Coordinator</x:v>
      </x:c>
      <x:c r="G12" s="3" t="str">
        <x:v>CC-T002</x:v>
      </x:c>
      <x:c r="H12" s="3" t="str">
        <x:v>provider_conformance: complete acceptance and review evidence</x:v>
      </x:c>
      <x:c r="I12" s="7" t="str">
        <x:v>1e87202a7ed8923e270090aa87f22a4947a68bcc</x:v>
      </x:c>
      <x:c r="J12" s="3" t="str">
        <x:v>1. Implement the OpenAI-compatible transport subset.
2. Normalize provider errors.
3. Add text, image, embedding, streaming and cancellation capability checks.
4. Separate management APIs from inference transport.
5. Prevent cloud endpoints under the chosen network policy.</x:v>
      </x:c>
      <x:c r="K12" s="7" t="str">
        <x:v>Closed after independent review findings were fixed in commit 1e87202. Fresh focused and full-suite verification passed; real llama.cpp/model certification remains in later tasks.</x:v>
      </x:c>
      <x:c r="L12" s="3" t="str">
        <x:v>Engineering</x:v>
      </x:c>
      <x:c r="M12" s="3" t="str">
        <x:v>Initial</x:v>
      </x:c>
      <x:c r="N12" s="3" t="str">
        <x:v>["CC-T002"]</x:v>
      </x:c>
      <x:c r="O12" s="3" t="str">
        <x:v>[]</x:v>
      </x:c>
      <x:c r="P12" s="3" t="str">
        <x:v>["CC-E037","CC-E038","CC-E039","CC-E040"]</x:v>
      </x:c>
      <x:c r="Q12" s="3" t="str">
        <x:v>["CC-R042","CC-R043","CC-R044","CC-R045","CC-R046"]</x:v>
      </x:c>
      <x:c r="R12" s="3" t="n">
        <x:v>90</x:v>
      </x:c>
      <x:c r="S12" s="3" t="str">
        <x:v>CC_Workshop_Implementation_Plan.md#cc-t009--implement-the-inference-provider-contract</x:v>
      </x:c>
      <x:c r="T12" s="3" t="str">
        <x:v>1. All enabled adapters pass the same applicable conformance tests.
2. Unsupported vision is reported before an image request is submitted.
3. Invalid structured responses cannot enter the answer renderer.
4. Cancellation reaches the transport.
5. Credentials and image contents are absent from ordinary logs.</x:v>
      </x:c>
      <x:c r="U12" s="11" t="n">
        <x:f>COUNTIF(tblSteps[Task],[@Task])</x:f>
        <x:v>4</x:v>
      </x:c>
      <x:c r="V12" s="11" t="n">
        <x:f>COUNTIFS(tblSteps[Task],[@Task],tblSteps[Status],"Done")</x:f>
        <x:v>4</x:v>
      </x:c>
      <x:c r="W12" s="11" t="n">
        <x:f>COUNTIFS(tblSteps[Task],[@Task],tblSteps[Status],"Skipped")+COUNTIFS(tblSteps[Task],[@Task],tblSteps[Status],"N/A")</x:f>
        <x:v>0</x:v>
      </x:c>
      <x:c r="X12" s="12" t="n">
        <x:f>IF([@Step total]=0,0,([@Steps done]+[@Steps waived])/[@Step total])</x:f>
        <x:v>1</x:v>
      </x:c>
      <x:c r="Y12" s="12" t="n">
        <x:f>IF([@Step total]=0,0,[@Steps done]/[@Step total])</x:f>
        <x:v>1</x:v>
      </x:c>
      <x:c r="Z12" s="7" t="str">
        <x:v>Passed</x:v>
      </x:c>
      <x:c r="AA12" s="8" t="n">
        <x:v>46279.50255953704</x:v>
      </x:c>
      <x:c r="AB12" s="3" t="str">
        <x:f>IF(AND([@Status]="Done",OR([@Step total]=0,[@Closed step ratio]&lt;&gt;1,[@Gate state]&lt;&gt;"Passed")),"Review completion","")</x:f>
      </x:c>
    </x:row>
    <x:row r="13" ht="84" customHeight="1">
      <x:c r="A13" s="3" t="str">
        <x:v>CC-T010</x:v>
      </x:c>
      <x:c r="B13" s="3" t="str">
        <x:v>M2 — Local inference and retrieval</x:v>
      </x:c>
      <x:c r="C13" s="3" t="str">
        <x:v>Add model assets and hardware discovery</x:v>
      </x:c>
      <x:c r="D13" s="3" t="str">
        <x:v>Local development</x:v>
      </x:c>
      <x:c r="E13" s="7" t="str">
        <x:v>In progress</x:v>
      </x:c>
      <x:c r="F13" s="7" t="str">
        <x:v>Coordinator</x:v>
      </x:c>
      <x:c r="G13" s="3" t="str">
        <x:v>CC-T009</x:v>
      </x:c>
      <x:c r="H13" s="3" t="str">
        <x:v>model_assets: complete acceptance and review evidence</x:v>
      </x:c>
      <x:c r="I13" s="7" t="str">
        <x:v>933a39204a90ff60d26c96444de66dc379e31065</x:v>
      </x:c>
      <x:c r="J13" s="3" t="str">
        <x:v>1. Add versioned model manifests.
2. Support explicit download and offline import.
3. Record hashes, revisions, licenses and required vision assets.
4. Discover usable devices through the selected runtime.
5. Define compact, single-GPU and multiple-GPU configuration profiles.</x:v>
      </x:c>
      <x:c r="K13" s="7" t="str">
        <x:v>Focused synthetic fixture coverage passed from source commit 933a392. Real model files, loaded llama.cpp runtime, hardware measurements and installer-runtime acceptance remain unperformed.</x:v>
      </x:c>
      <x:c r="L13" s="3" t="str">
        <x:v>Engineering</x:v>
      </x:c>
      <x:c r="M13" s="3" t="str">
        <x:v>Initial</x:v>
      </x:c>
      <x:c r="N13" s="3" t="str">
        <x:v>["CC-T009"]</x:v>
      </x:c>
      <x:c r="O13" s="3" t="str">
        <x:v>[]</x:v>
      </x:c>
      <x:c r="P13" s="3" t="str">
        <x:v>["CC-E041","CC-E042","CC-E043","CC-E044"]</x:v>
      </x:c>
      <x:c r="Q13" s="3" t="str">
        <x:v>["CC-R047","CC-R048","CC-R049","CC-R050"]</x:v>
      </x:c>
      <x:c r="R13" s="3" t="n">
        <x:v>100</x:v>
      </x:c>
      <x:c r="S13" s="3" t="str">
        <x:v>CC_Workshop_Implementation_Plan.md#cc-t010--add-model-assets-and-hardware-discovery</x:v>
      </x:c>
      <x:c r="T13" s="3" t="str">
        <x:v>1. Missing or mismatched projectors prevent vision activation.
2. Corrupt or partial model files are rejected.
3. Offline import requires no Hub connection.
4. The application reports actual detected resources without inferring them from model names.</x:v>
      </x:c>
      <x:c r="U13" s="11" t="n">
        <x:f>COUNTIF(tblSteps[Task],[@Task])</x:f>
        <x:v>4</x:v>
      </x:c>
      <x:c r="V13" s="11" t="n">
        <x:f>COUNTIFS(tblSteps[Task],[@Task],tblSteps[Status],"Done")</x:f>
        <x:v>0</x:v>
      </x:c>
      <x:c r="W13" s="11" t="n">
        <x:f>COUNTIFS(tblSteps[Task],[@Task],tblSteps[Status],"Skipped")+COUNTIFS(tblSteps[Task],[@Task],tblSteps[Status],"N/A")</x:f>
        <x:v>0</x:v>
      </x:c>
      <x:c r="X13" s="12" t="n">
        <x:f>IF([@Step total]=0,0,([@Steps done]+[@Steps waived])/[@Step total])</x:f>
        <x:v>0</x:v>
      </x:c>
      <x:c r="Y13" s="12" t="n">
        <x:f>IF([@Step total]=0,0,[@Steps done]/[@Step total])</x:f>
        <x:v>0</x:v>
      </x:c>
      <x:c r="Z13" s="7" t="str">
        <x:v>Not evaluated</x:v>
      </x:c>
      <x:c r="AA13" s="8" t="n">
        <x:v>46279.50255953704</x:v>
      </x:c>
      <x:c r="AB13" s="3" t="str">
        <x:f>IF(AND([@Status]="Done",OR([@Step total]=0,[@Closed step ratio]&lt;&gt;1,[@Gate state]&lt;&gt;"Passed")),"Review completion","")</x:f>
      </x:c>
    </x:row>
    <x:row r="14" ht="84" customHeight="1">
      <x:c r="A14" s="3" t="str">
        <x:v>CC-T011</x:v>
      </x:c>
      <x:c r="B14" s="3" t="str">
        <x:v>M2 — Local inference and retrieval</x:v>
      </x:c>
      <x:c r="C14" s="3" t="str">
        <x:v>Supervise bundled llama.cpp</x:v>
      </x:c>
      <x:c r="D14" s="3" t="str">
        <x:v>Local development; actual supported hardware for hardware gates</x:v>
      </x:c>
      <x:c r="E14" s="7" t="str">
        <x:v>In progress</x:v>
      </x:c>
      <x:c r="F14" s="7" t="str">
        <x:v>Coordinator</x:v>
      </x:c>
      <x:c r="G14" s="3" t="str">
        <x:v>CC-T010</x:v>
      </x:c>
      <x:c r="H14" s="3" t="str">
        <x:v>sidecar_lifecycle: complete acceptance and review evidence</x:v>
      </x:c>
      <x:c r="I14" s="7" t="str">
        <x:v>933a39204a90ff60d26c96444de66dc379e31065</x:v>
      </x:c>
      <x:c r="J14" s="3" t="str">
        <x:v>1. Bundle a pinned runtime and required libraries.
2. Start hidden child processes.
3. Verify readiness and model identity.
4. Track process ownership.
5. Stop owned children cleanly.
6. Handle crashes, port conflicts and failed loads.</x:v>
      </x:c>
      <x:c r="K14" s="7" t="str">
        <x:v>Focused synthetic fixture coverage passed from source commit 933a392. Real model files, loaded llama.cpp runtime, hardware measurements and installer-runtime acceptance remain unperformed.</x:v>
      </x:c>
      <x:c r="L14" s="3" t="str">
        <x:v>Engineering</x:v>
      </x:c>
      <x:c r="M14" s="3" t="str">
        <x:v>Initial</x:v>
      </x:c>
      <x:c r="N14" s="3" t="str">
        <x:v>["CC-T010"]</x:v>
      </x:c>
      <x:c r="O14" s="3" t="str">
        <x:v>[]</x:v>
      </x:c>
      <x:c r="P14" s="3" t="str">
        <x:v>["CC-E045","CC-E046","CC-E047","CC-E048"]</x:v>
      </x:c>
      <x:c r="Q14" s="3" t="str">
        <x:v>["CC-R051","CC-R052","CC-R053","CC-R054","CC-R055"]</x:v>
      </x:c>
      <x:c r="R14" s="3" t="n">
        <x:v>110</x:v>
      </x:c>
      <x:c r="S14" s="3" t="str">
        <x:v>CC_Workshop_Implementation_Plan.md#cc-t011--supervise-bundled-llamacpp</x:v>
      </x:c>
      <x:c r="T14" s="3" t="str">
        <x:v>1. Fresh launch does not require Ollama or a separately installed Python.
2. An unrelated process is never terminated.
3. A child crash produces a recoverable error.
4. Closing the application follows the selected shutdown policy.
5. Repeated launches do not create orphaned model processes.</x:v>
      </x:c>
      <x:c r="U14" s="11" t="n">
        <x:f>COUNTIF(tblSteps[Task],[@Task])</x:f>
        <x:v>4</x:v>
      </x:c>
      <x:c r="V14" s="11" t="n">
        <x:f>COUNTIFS(tblSteps[Task],[@Task],tblSteps[Status],"Done")</x:f>
        <x:v>0</x:v>
      </x:c>
      <x:c r="W14" s="11" t="n">
        <x:f>COUNTIFS(tblSteps[Task],[@Task],tblSteps[Status],"Skipped")+COUNTIFS(tblSteps[Task],[@Task],tblSteps[Status],"N/A")</x:f>
        <x:v>0</x:v>
      </x:c>
      <x:c r="X14" s="12" t="n">
        <x:f>IF([@Step total]=0,0,([@Steps done]+[@Steps waived])/[@Step total])</x:f>
        <x:v>0</x:v>
      </x:c>
      <x:c r="Y14" s="12" t="n">
        <x:f>IF([@Step total]=0,0,[@Steps done]/[@Step total])</x:f>
        <x:v>0</x:v>
      </x:c>
      <x:c r="Z14" s="7" t="str">
        <x:v>Not evaluated</x:v>
      </x:c>
      <x:c r="AA14" s="8" t="n">
        <x:v>46279.50255953704</x:v>
      </x:c>
      <x:c r="AB14" s="3" t="str">
        <x:f>IF(AND([@Status]="Done",OR([@Step total]=0,[@Closed step ratio]&lt;&gt;1,[@Gate state]&lt;&gt;"Passed")),"Review completion","")</x:f>
      </x:c>
    </x:row>
    <x:row r="15" ht="96" customHeight="1">
      <x:c r="A15" s="3" t="str">
        <x:v>CC-T012</x:v>
      </x:c>
      <x:c r="B15" s="3" t="str">
        <x:v>M2 — Local inference and retrieval</x:v>
      </x:c>
      <x:c r="C15" s="3" t="str">
        <x:v>Add hardware controls and alternative local endpoints</x:v>
      </x:c>
      <x:c r="D15" s="3" t="str">
        <x:v>Local development; actual supported hardware for hardware gates</x:v>
      </x:c>
      <x:c r="E15" s="7" t="str">
        <x:v>In progress</x:v>
      </x:c>
      <x:c r="F15" s="7" t="str">
        <x:v>Coordinator</x:v>
      </x:c>
      <x:c r="G15" s="3" t="str">
        <x:v>CC-T009, CC-T011</x:v>
      </x:c>
      <x:c r="H15" s="3" t="str">
        <x:v>inference_settings: complete acceptance and review evidence</x:v>
      </x:c>
      <x:c r="I15" s="7" t="str">
        <x:v>933a39204a90ff60d26c96444de66dc379e31065</x:v>
      </x:c>
      <x:c r="J15" s="3" t="str">
        <x:v>1. Expose validated runtime controls.
2. Validate split proportions and capability-dependent combinations.
3. Persist working profiles.
4. Add explicit external generation and embedding choices.
5. Restore the last working profile after a rejected change.</x:v>
      </x:c>
      <x:c r="K15" s="7" t="str">
        <x:v>Focused synthetic fixture coverage passed from source commit 933a392. Real model files, loaded llama.cpp runtime, hardware measurements and installer-runtime acceptance remain unperformed.</x:v>
      </x:c>
      <x:c r="L15" s="3" t="str">
        <x:v>Engineering</x:v>
      </x:c>
      <x:c r="M15" s="3" t="str">
        <x:v>Initial</x:v>
      </x:c>
      <x:c r="N15" s="3" t="str">
        <x:v>["CC-T009","CC-T011"]</x:v>
      </x:c>
      <x:c r="O15" s="3" t="str">
        <x:v>[]</x:v>
      </x:c>
      <x:c r="P15" s="3" t="str">
        <x:v>["CC-E049","CC-E050","CC-E051","CC-E052"]</x:v>
      </x:c>
      <x:c r="Q15" s="3" t="str">
        <x:v>["CC-R056","CC-R057","CC-R058","CC-R059","CC-R060"]</x:v>
      </x:c>
      <x:c r="R15" s="3" t="n">
        <x:v>120</x:v>
      </x:c>
      <x:c r="S15" s="3" t="str">
        <x:v>CC_Workshop_Implementation_Plan.md#cc-t012--add-hardware-controls-and-alternative-local-endpoints</x:v>
      </x:c>
      <x:c r="T15" s="3" t="str">
        <x:v>1. Invalid settings do not replace a working configuration.
2. Quantized cache and split-mode restrictions match the pinned build.
3. External generation mode skips its generation sidecar.
4. Local embeddings remain available when only generation is external.
5. Public or redirected endpoints are rejected.</x:v>
      </x:c>
      <x:c r="U15" s="11" t="n">
        <x:f>COUNTIF(tblSteps[Task],[@Task])</x:f>
        <x:v>4</x:v>
      </x:c>
      <x:c r="V15" s="11" t="n">
        <x:f>COUNTIFS(tblSteps[Task],[@Task],tblSteps[Status],"Done")</x:f>
        <x:v>0</x:v>
      </x:c>
      <x:c r="W15" s="11" t="n">
        <x:f>COUNTIFS(tblSteps[Task],[@Task],tblSteps[Status],"Skipped")+COUNTIFS(tblSteps[Task],[@Task],tblSteps[Status],"N/A")</x:f>
        <x:v>0</x:v>
      </x:c>
      <x:c r="X15" s="12" t="n">
        <x:f>IF([@Step total]=0,0,([@Steps done]+[@Steps waived])/[@Step total])</x:f>
        <x:v>0</x:v>
      </x:c>
      <x:c r="Y15" s="12" t="n">
        <x:f>IF([@Step total]=0,0,[@Steps done]/[@Step total])</x:f>
        <x:v>0</x:v>
      </x:c>
      <x:c r="Z15" s="7" t="str">
        <x:v>Not evaluated</x:v>
      </x:c>
      <x:c r="AA15" s="8" t="n">
        <x:v>46279.50255953704</x:v>
      </x:c>
      <x:c r="AB15" s="3" t="str">
        <x:f>IF(AND([@Status]="Done",OR([@Step total]=0,[@Closed step ratio]&lt;&gt;1,[@Gate state]&lt;&gt;"Passed")),"Review completion","")</x:f>
      </x:c>
    </x:row>
    <x:row r="16" ht="96" customHeight="1">
      <x:c r="A16" s="3" t="str">
        <x:v>CC-T013</x:v>
      </x:c>
      <x:c r="B16" s="3" t="str">
        <x:v>M2 — Local inference and retrieval</x:v>
      </x:c>
      <x:c r="C16" s="3" t="str">
        <x:v>Implement versioned embeddings and scoped indexes</x:v>
      </x:c>
      <x:c r="D16" s="3" t="str">
        <x:v>Local development</x:v>
      </x:c>
      <x:c r="E16" s="7" t="str">
        <x:v>Not started</x:v>
      </x:c>
      <x:c r="F16" s="7" t="str"/>
      <x:c r="G16" s="3" t="str">
        <x:v>CC-T004, CC-T007, CC-T009, CC-T011</x:v>
      </x:c>
      <x:c r="H16" s="3" t="str">
        <x:v>index_identity: complete acceptance and review evidence</x:v>
      </x:c>
      <x:c r="I16" s="7" t="str"/>
      <x:c r="J16" s="3" t="str">
        <x:v>1. Compute embeddings through the approved local transport.
2. Persist embedding identity and vector dimensions.
3. Build vehicle-private and approved shared-source indexes.
4. Replace hardcoded index destinations.
5. Stage new index revisions and activate them atomically.
6. Import legacy vectors only when their identity is demonstrably compatible.</x:v>
      </x:c>
      <x:c r="K16" s="7" t="str"/>
      <x:c r="L16" s="3" t="str">
        <x:v>Engineering</x:v>
      </x:c>
      <x:c r="M16" s="3" t="str">
        <x:v>Initial</x:v>
      </x:c>
      <x:c r="N16" s="3" t="str">
        <x:v>["CC-T004","CC-T007","CC-T009","CC-T011"]</x:v>
      </x:c>
      <x:c r="O16" s="3" t="str">
        <x:v>[]</x:v>
      </x:c>
      <x:c r="P16" s="3" t="str">
        <x:v>["CC-E053","CC-E054","CC-E055","CC-E056"]</x:v>
      </x:c>
      <x:c r="Q16" s="3" t="str">
        <x:v>["CC-R061","CC-R062","CC-R063","CC-R064","CC-R065"]</x:v>
      </x:c>
      <x:c r="R16" s="3" t="n">
        <x:v>130</x:v>
      </x:c>
      <x:c r="S16" s="3" t="str">
        <x:v>CC_Workshop_Implementation_Plan.md#cc-t013--implement-versioned-embeddings-and-scoped-indexes</x:v>
      </x:c>
      <x:c r="T16" s="3" t="str">
        <x:v>1. Changing the embedding profile requires a new compatible index.
2. Dimension mismatches fail before querying.
3. Corrected source content supersedes stale chunks.
4. Interrupted activation retains the previous valid index.
5. No default embedding function downloads a model during offline querying.</x:v>
      </x:c>
      <x:c r="U16" s="11" t="n">
        <x:f>COUNTIF(tblSteps[Task],[@Task])</x:f>
        <x:v>4</x:v>
      </x:c>
      <x:c r="V16" s="11" t="n">
        <x:f>COUNTIFS(tblSteps[Task],[@Task],tblSteps[Status],"Done")</x:f>
        <x:v>0</x:v>
      </x:c>
      <x:c r="W16" s="11" t="n">
        <x:f>COUNTIFS(tblSteps[Task],[@Task],tblSteps[Status],"Skipped")+COUNTIFS(tblSteps[Task],[@Task],tblSteps[Status],"N/A")</x:f>
        <x:v>0</x:v>
      </x:c>
      <x:c r="X16" s="12" t="n">
        <x:f>IF([@Step total]=0,0,([@Steps done]+[@Steps waived])/[@Step total])</x:f>
        <x:v>0</x:v>
      </x:c>
      <x:c r="Y16" s="12" t="n">
        <x:f>IF([@Step total]=0,0,[@Steps done]/[@Step total])</x:f>
        <x:v>0</x:v>
      </x:c>
      <x:c r="Z16" s="7" t="str">
        <x:v>Not evaluated</x:v>
      </x:c>
      <x:c r="AA16" s="8" t="n">
        <x:v>46275.51530535879</x:v>
      </x:c>
      <x:c r="AB16" s="3" t="str">
        <x:f>IF(AND([@Status]="Done",OR([@Step total]=0,[@Closed step ratio]&lt;&gt;1,[@Gate state]&lt;&gt;"Passed")),"Review completion","")</x:f>
      </x:c>
    </x:row>
    <x:row r="17" ht="84" customHeight="1">
      <x:c r="A17" s="3" t="str">
        <x:v>CC-T014</x:v>
      </x:c>
      <x:c r="B17" s="3" t="str">
        <x:v>M2 — Local inference and retrieval</x:v>
      </x:c>
      <x:c r="C17" s="3" t="str">
        <x:v>Implement strict hybrid retrieval and evidence assembly</x:v>
      </x:c>
      <x:c r="D17" s="3" t="str">
        <x:v>Local development</x:v>
      </x:c>
      <x:c r="E17" s="7" t="str">
        <x:v>Not started</x:v>
      </x:c>
      <x:c r="F17" s="7" t="str"/>
      <x:c r="G17" s="3" t="str">
        <x:v>CC-T008, CC-T013</x:v>
      </x:c>
      <x:c r="H17" s="3" t="str">
        <x:v>retrieval_evidence: complete acceptance and review evidence</x:v>
      </x:c>
      <x:c r="I17" s="7" t="str"/>
      <x:c r="J17" s="3" t="str">
        <x:v>1. Add exact-identifier and FTS retrieval.
2. Apply identical access/applicability restrictions to all search paths.
3. Merge lexical and vector candidates deterministically.
4. Expand warnings, tables, figures and parent context.
5. Produce the evidence-package contract.</x:v>
      </x:c>
      <x:c r="K17" s="7" t="str"/>
      <x:c r="L17" s="3" t="str">
        <x:v>Engineering</x:v>
      </x:c>
      <x:c r="M17" s="3" t="str">
        <x:v>Initial</x:v>
      </x:c>
      <x:c r="N17" s="3" t="str">
        <x:v>["CC-T008","CC-T013"]</x:v>
      </x:c>
      <x:c r="O17" s="3" t="str">
        <x:v>[]</x:v>
      </x:c>
      <x:c r="P17" s="3" t="str">
        <x:v>["CC-E057","CC-E058","CC-E059","CC-E060"]</x:v>
      </x:c>
      <x:c r="Q17" s="3" t="str">
        <x:v>["CC-R066","CC-R067","CC-R068","CC-R069","CC-R070"]</x:v>
      </x:c>
      <x:c r="R17" s="3" t="n">
        <x:v>140</x:v>
      </x:c>
      <x:c r="S17" s="3" t="str">
        <x:v>CC_Workshop_Implementation_Plan.md#cc-t014--implement-strict-hybrid-retrieval-and-evidence-assembly</x:v>
      </x:c>
      <x:c r="T17" s="3" t="str">
        <x:v>1. Wrong-vehicle distractors never enter the evidence package.
2. Exact DTC and part-identifier fixtures are retrieved correctly.
3. Shared-source searches respect the active vehicle’s associations.
4. Context expansion preserves the reason a result was selected.
5. Repeated identical inputs produce stable candidate ordering where scores tie.</x:v>
      </x:c>
      <x:c r="U17" s="11" t="n">
        <x:f>COUNTIF(tblSteps[Task],[@Task])</x:f>
        <x:v>4</x:v>
      </x:c>
      <x:c r="V17" s="11" t="n">
        <x:f>COUNTIFS(tblSteps[Task],[@Task],tblSteps[Status],"Done")</x:f>
        <x:v>0</x:v>
      </x:c>
      <x:c r="W17" s="11" t="n">
        <x:f>COUNTIFS(tblSteps[Task],[@Task],tblSteps[Status],"Skipped")+COUNTIFS(tblSteps[Task],[@Task],tblSteps[Status],"N/A")</x:f>
        <x:v>0</x:v>
      </x:c>
      <x:c r="X17" s="12" t="n">
        <x:f>IF([@Step total]=0,0,([@Steps done]+[@Steps waived])/[@Step total])</x:f>
        <x:v>0</x:v>
      </x:c>
      <x:c r="Y17" s="12" t="n">
        <x:f>IF([@Step total]=0,0,[@Steps done]/[@Step total])</x:f>
        <x:v>0</x:v>
      </x:c>
      <x:c r="Z17" s="7" t="str">
        <x:v>Not evaluated</x:v>
      </x:c>
      <x:c r="AA17" s="8" t="n">
        <x:v>46275.51530535879</x:v>
      </x:c>
      <x:c r="AB17" s="3" t="str">
        <x:f>IF(AND([@Status]="Done",OR([@Step total]=0,[@Closed step ratio]&lt;&gt;1,[@Gate state]&lt;&gt;"Passed")),"Review completion","")</x:f>
      </x:c>
    </x:row>
    <x:row r="18" ht="84" customHeight="1">
      <x:c r="A18" s="3" t="str">
        <x:v>CC-T015</x:v>
      </x:c>
      <x:c r="B18" s="3" t="str">
        <x:v>M3 — Repair workflow</x:v>
      </x:c>
      <x:c r="C18" s="3" t="str">
        <x:v>Implement component-bound specification verification</x:v>
      </x:c>
      <x:c r="D18" s="3" t="str">
        <x:v>Local development</x:v>
      </x:c>
      <x:c r="E18" s="7" t="str">
        <x:v>Not started</x:v>
      </x:c>
      <x:c r="F18" s="7" t="str"/>
      <x:c r="G18" s="3" t="str">
        <x:v>CC-T014</x:v>
      </x:c>
      <x:c r="H18" s="3" t="str">
        <x:v>specification_binding: complete acceptance and review evidence</x:v>
      </x:c>
      <x:c r="I18" s="7" t="str"/>
      <x:c r="J18" s="3" t="str">
        <x:v>1. Adapt useful existing numeric extraction patterns.
2. Add typed specification records.
3. Bind values to component, operation, conditions and evidence.
4. Add explicit support states.
5. Render approved expressions in application code.</x:v>
      </x:c>
      <x:c r="K18" s="7" t="str"/>
      <x:c r="L18" s="3" t="str">
        <x:v>Engineering</x:v>
      </x:c>
      <x:c r="M18" s="3" t="str">
        <x:v>Initial</x:v>
      </x:c>
      <x:c r="N18" s="3" t="str">
        <x:v>["CC-T014"]</x:v>
      </x:c>
      <x:c r="O18" s="3" t="str">
        <x:v>[]</x:v>
      </x:c>
      <x:c r="P18" s="3" t="str">
        <x:v>["CC-E061","CC-E062","CC-E063","CC-E064"]</x:v>
      </x:c>
      <x:c r="Q18" s="3" t="str">
        <x:v>["CC-R071","CC-R072","CC-R073","CC-R074","CC-R075"]</x:v>
      </x:c>
      <x:c r="R18" s="3" t="n">
        <x:v>150</x:v>
      </x:c>
      <x:c r="S18" s="3" t="str">
        <x:v>CC_Workshop_Implementation_Plan.md#cc-t015--implement-component-bound-specification-verification</x:v>
      </x:c>
      <x:c r="T18" s="3" t="str">
        <x:v>1. Swapped fastener values fail.
2. Missing angle stages fail.
3. Unsupported capacities and part numbers do not receive a blanket verified state.
4. Zero checked specifications does not mean universal verification.
5. Conflicting applicable records withhold a definitive value.</x:v>
      </x:c>
      <x:c r="U18" s="11" t="n">
        <x:f>COUNTIF(tblSteps[Task],[@Task])</x:f>
        <x:v>4</x:v>
      </x:c>
      <x:c r="V18" s="11" t="n">
        <x:f>COUNTIFS(tblSteps[Task],[@Task],tblSteps[Status],"Done")</x:f>
        <x:v>0</x:v>
      </x:c>
      <x:c r="W18" s="11" t="n">
        <x:f>COUNTIFS(tblSteps[Task],[@Task],tblSteps[Status],"Skipped")+COUNTIFS(tblSteps[Task],[@Task],tblSteps[Status],"N/A")</x:f>
        <x:v>0</x:v>
      </x:c>
      <x:c r="X18" s="12" t="n">
        <x:f>IF([@Step total]=0,0,([@Steps done]+[@Steps waived])/[@Step total])</x:f>
        <x:v>0</x:v>
      </x:c>
      <x:c r="Y18" s="12" t="n">
        <x:f>IF([@Step total]=0,0,[@Steps done]/[@Step total])</x:f>
        <x:v>0</x:v>
      </x:c>
      <x:c r="Z18" s="7" t="str">
        <x:v>Not evaluated</x:v>
      </x:c>
      <x:c r="AA18" s="8" t="n">
        <x:v>46275.51530535879</x:v>
      </x:c>
      <x:c r="AB18" s="3" t="str">
        <x:f>IF(AND([@Status]="Done",OR([@Step total]=0,[@Closed step ratio]&lt;&gt;1,[@Gate state]&lt;&gt;"Passed")),"Review completion","")</x:f>
      </x:c>
    </x:row>
    <x:row r="19" ht="84" customHeight="1">
      <x:c r="A19" s="3" t="str">
        <x:v>CC-T016</x:v>
      </x:c>
      <x:c r="B19" s="3" t="str">
        <x:v>M3 — Repair workflow</x:v>
      </x:c>
      <x:c r="C19" s="3" t="str">
        <x:v>Implement answer routing and validation</x:v>
      </x:c>
      <x:c r="D19" s="3" t="str">
        <x:v>Local development</x:v>
      </x:c>
      <x:c r="E19" s="7" t="str">
        <x:v>Not started</x:v>
      </x:c>
      <x:c r="F19" s="7" t="str"/>
      <x:c r="G19" s="3" t="str">
        <x:v>CC-T009, CC-T015</x:v>
      </x:c>
      <x:c r="H19" s="3" t="str">
        <x:v>answer_routing: complete acceptance and review evidence</x:v>
      </x:c>
      <x:c r="I19" s="7" t="str"/>
      <x:c r="J19" s="3" t="str">
        <x:v>1. Add fact, diagnosis, procedure, source and out-of-domain routes.
2. Render direct facts without unnecessary generation.
3. Validate citation access, claim support and answer structure.
4. Allow one bounded formatting-repair attempt for malformed model output.
5. Preserve separate answer dispositions.</x:v>
      </x:c>
      <x:c r="K19" s="7" t="str"/>
      <x:c r="L19" s="3" t="str">
        <x:v>Engineering</x:v>
      </x:c>
      <x:c r="M19" s="3" t="str">
        <x:v>Initial</x:v>
      </x:c>
      <x:c r="N19" s="3" t="str">
        <x:v>["CC-T009","CC-T015"]</x:v>
      </x:c>
      <x:c r="O19" s="3" t="str">
        <x:v>[]</x:v>
      </x:c>
      <x:c r="P19" s="3" t="str">
        <x:v>["CC-E065","CC-E066","CC-E067","CC-E068"]</x:v>
      </x:c>
      <x:c r="Q19" s="3" t="str">
        <x:v>["CC-R076","CC-R077","CC-R078","CC-R079","CC-R080"]</x:v>
      </x:c>
      <x:c r="R19" s="3" t="n">
        <x:v>160</x:v>
      </x:c>
      <x:c r="S19" s="3" t="str">
        <x:v>CC_Workshop_Implementation_Plan.md#cc-t016--implement-answer-routing-and-validation</x:v>
      </x:c>
      <x:c r="T19" s="3" t="str">
        <x:v>1. Missing information produces the required abstention sentence.
2. Invalid citations cannot appear as support.
3. Unsupported generated specifications are withheld.
4. Out-of-domain requests receive a brief useful response.
5. Failed or cancelled generation cannot become a completed answer.</x:v>
      </x:c>
      <x:c r="U19" s="11" t="n">
        <x:f>COUNTIF(tblSteps[Task],[@Task])</x:f>
        <x:v>4</x:v>
      </x:c>
      <x:c r="V19" s="11" t="n">
        <x:f>COUNTIFS(tblSteps[Task],[@Task],tblSteps[Status],"Done")</x:f>
        <x:v>0</x:v>
      </x:c>
      <x:c r="W19" s="11" t="n">
        <x:f>COUNTIFS(tblSteps[Task],[@Task],tblSteps[Status],"Skipped")+COUNTIFS(tblSteps[Task],[@Task],tblSteps[Status],"N/A")</x:f>
        <x:v>0</x:v>
      </x:c>
      <x:c r="X19" s="12" t="n">
        <x:f>IF([@Step total]=0,0,([@Steps done]+[@Steps waived])/[@Step total])</x:f>
        <x:v>0</x:v>
      </x:c>
      <x:c r="Y19" s="12" t="n">
        <x:f>IF([@Step total]=0,0,[@Steps done]/[@Step total])</x:f>
        <x:v>0</x:v>
      </x:c>
      <x:c r="Z19" s="7" t="str">
        <x:v>Not evaluated</x:v>
      </x:c>
      <x:c r="AA19" s="8" t="n">
        <x:v>46275.51530535879</x:v>
      </x:c>
      <x:c r="AB19" s="3" t="str">
        <x:f>IF(AND([@Status]="Done",OR([@Step total]=0,[@Closed step ratio]&lt;&gt;1,[@Gate state]&lt;&gt;"Passed")),"Review completion","")</x:f>
      </x:c>
    </x:row>
    <x:row r="20" ht="84" customHeight="1">
      <x:c r="A20" s="3" t="str">
        <x:v>CC-T017</x:v>
      </x:c>
      <x:c r="B20" s="3" t="str">
        <x:v>M3 — Repair workflow</x:v>
      </x:c>
      <x:c r="C20" s="3" t="str">
        <x:v>Extend the shared browser interface</x:v>
      </x:c>
      <x:c r="D20" s="3" t="str">
        <x:v>Local development</x:v>
      </x:c>
      <x:c r="E20" s="7" t="str">
        <x:v>Not started</x:v>
      </x:c>
      <x:c r="F20" s="7" t="str"/>
      <x:c r="G20" s="3" t="str">
        <x:v>CC-T004, CC-T006, CC-T012, CC-T016</x:v>
      </x:c>
      <x:c r="H20" s="3" t="str">
        <x:v>workspace_ui: complete acceptance and review evidence</x:v>
      </x:c>
      <x:c r="I20" s="7" t="str"/>
      <x:c r="J20" s="3" t="str">
        <x:v>1. Add Garage navigation and persistent active-vehicle display.
2. Build Library, job progress, history and settings screens.
3. Use the same backend in browser and pywebview.
4. Preserve request context during vehicle switching.
5. Bundle all interface assets locally.</x:v>
      </x:c>
      <x:c r="K20" s="7" t="str"/>
      <x:c r="L20" s="3" t="str">
        <x:v>Engineering</x:v>
      </x:c>
      <x:c r="M20" s="3" t="str">
        <x:v>Initial</x:v>
      </x:c>
      <x:c r="N20" s="3" t="str">
        <x:v>["CC-T004","CC-T006","CC-T012","CC-T016"]</x:v>
      </x:c>
      <x:c r="O20" s="3" t="str">
        <x:v>[]</x:v>
      </x:c>
      <x:c r="P20" s="3" t="str">
        <x:v>["CC-E069","CC-E070","CC-E071","CC-E072"]</x:v>
      </x:c>
      <x:c r="Q20" s="3" t="str">
        <x:v>["CC-R081","CC-R082","CC-R083","CC-R084","CC-R085"]</x:v>
      </x:c>
      <x:c r="R20" s="3" t="n">
        <x:v>170</x:v>
      </x:c>
      <x:c r="S20" s="3" t="str">
        <x:v>CC_Workshop_Implementation_Plan.md#cc-t017--extend-the-shared-browser-interface</x:v>
      </x:c>
      <x:c r="T20" s="3" t="str">
        <x:v>1. Desktop and browser workflows use the same data.
2. Rapid Garage switching does not display another vehicle’s result.
3. Keyboard navigation and visible focus work.
4. Loading, empty, failure, unknown-applicability and cancelled states are covered.
5. No CDN is needed.</x:v>
      </x:c>
      <x:c r="U20" s="11" t="n">
        <x:f>COUNTIF(tblSteps[Task],[@Task])</x:f>
        <x:v>4</x:v>
      </x:c>
      <x:c r="V20" s="11" t="n">
        <x:f>COUNTIFS(tblSteps[Task],[@Task],tblSteps[Status],"Done")</x:f>
        <x:v>0</x:v>
      </x:c>
      <x:c r="W20" s="11" t="n">
        <x:f>COUNTIFS(tblSteps[Task],[@Task],tblSteps[Status],"Skipped")+COUNTIFS(tblSteps[Task],[@Task],tblSteps[Status],"N/A")</x:f>
        <x:v>0</x:v>
      </x:c>
      <x:c r="X20" s="12" t="n">
        <x:f>IF([@Step total]=0,0,([@Steps done]+[@Steps waived])/[@Step total])</x:f>
        <x:v>0</x:v>
      </x:c>
      <x:c r="Y20" s="12" t="n">
        <x:f>IF([@Step total]=0,0,[@Steps done]/[@Step total])</x:f>
        <x:v>0</x:v>
      </x:c>
      <x:c r="Z20" s="7" t="str">
        <x:v>Not evaluated</x:v>
      </x:c>
      <x:c r="AA20" s="8" t="n">
        <x:v>46275.51530535879</x:v>
      </x:c>
      <x:c r="AB20" s="3" t="str">
        <x:f>IF(AND([@Status]="Done",OR([@Step total]=0,[@Closed step ratio]&lt;&gt;1,[@Gate state]&lt;&gt;"Passed")),"Review completion","")</x:f>
      </x:c>
    </x:row>
    <x:row r="21" ht="72" customHeight="1">
      <x:c r="A21" s="3" t="str">
        <x:v>CC-T018</x:v>
      </x:c>
      <x:c r="B21" s="3" t="str">
        <x:v>M3 — Repair workflow</x:v>
      </x:c>
      <x:c r="C21" s="3" t="str">
        <x:v>Add the original-source viewer</x:v>
      </x:c>
      <x:c r="D21" s="3" t="str">
        <x:v>Local development</x:v>
      </x:c>
      <x:c r="E21" s="7" t="str">
        <x:v>Not started</x:v>
      </x:c>
      <x:c r="F21" s="7" t="str"/>
      <x:c r="G21" s="3" t="str">
        <x:v>CC-T008, CC-T017</x:v>
      </x:c>
      <x:c r="H21" s="3" t="str">
        <x:v>source_viewer: complete acceptance and review evidence</x:v>
      </x:c>
      <x:c r="I21" s="7" t="str"/>
      <x:c r="J21" s="3" t="str">
        <x:v>1. Bundle PDF.js.
2. Open exact original pages from evidence IDs.
3. Highlight supported regions.
4. Show printed labels alongside physical page positions.
5. Authorize every source request.</x:v>
      </x:c>
      <x:c r="K21" s="7" t="str"/>
      <x:c r="L21" s="3" t="str">
        <x:v>Engineering</x:v>
      </x:c>
      <x:c r="M21" s="3" t="str">
        <x:v>Initial</x:v>
      </x:c>
      <x:c r="N21" s="3" t="str">
        <x:v>["CC-T008","CC-T017"]</x:v>
      </x:c>
      <x:c r="O21" s="3" t="str">
        <x:v>[]</x:v>
      </x:c>
      <x:c r="P21" s="3" t="str">
        <x:v>["CC-E073","CC-E074","CC-E075","CC-E076"]</x:v>
      </x:c>
      <x:c r="Q21" s="3" t="str">
        <x:v>["CC-R086","CC-R087","CC-R088","CC-R089","CC-R090"]</x:v>
      </x:c>
      <x:c r="R21" s="3" t="n">
        <x:v>180</x:v>
      </x:c>
      <x:c r="S21" s="3" t="str">
        <x:v>CC_Workshop_Implementation_Plan.md#cc-t018--add-the-original-source-viewer</x:v>
      </x:c>
      <x:c r="T21" s="3" t="str">
        <x:v>1. Each test citation opens the correct source and page.
2. A citation cannot open another Garage’s private file.
3. Highlight coordinates remain correct after scaling.
4. Transformed-copy references resolve through the page map.
5. Source access works offline.</x:v>
      </x:c>
      <x:c r="U21" s="11" t="n">
        <x:f>COUNTIF(tblSteps[Task],[@Task])</x:f>
        <x:v>4</x:v>
      </x:c>
      <x:c r="V21" s="11" t="n">
        <x:f>COUNTIFS(tblSteps[Task],[@Task],tblSteps[Status],"Done")</x:f>
        <x:v>0</x:v>
      </x:c>
      <x:c r="W21" s="11" t="n">
        <x:f>COUNTIFS(tblSteps[Task],[@Task],tblSteps[Status],"Skipped")+COUNTIFS(tblSteps[Task],[@Task],tblSteps[Status],"N/A")</x:f>
        <x:v>0</x:v>
      </x:c>
      <x:c r="X21" s="12" t="n">
        <x:f>IF([@Step total]=0,0,([@Steps done]+[@Steps waived])/[@Step total])</x:f>
        <x:v>0</x:v>
      </x:c>
      <x:c r="Y21" s="12" t="n">
        <x:f>IF([@Step total]=0,0,[@Steps done]/[@Step total])</x:f>
        <x:v>0</x:v>
      </x:c>
      <x:c r="Z21" s="7" t="str">
        <x:v>Not evaluated</x:v>
      </x:c>
      <x:c r="AA21" s="8" t="n">
        <x:v>46275.51530535879</x:v>
      </x:c>
      <x:c r="AB21" s="3" t="str">
        <x:f>IF(AND([@Status]="Done",OR([@Step total]=0,[@Closed step ratio]&lt;&gt;1,[@Gate state]&lt;&gt;"Passed")),"Review completion","")</x:f>
      </x:c>
    </x:row>
    <x:row r="22" ht="84" customHeight="1">
      <x:c r="A22" s="3" t="str">
        <x:v>CC-T019</x:v>
      </x:c>
      <x:c r="B22" s="3" t="str">
        <x:v>M3 — Repair workflow</x:v>
      </x:c>
      <x:c r="C22" s="3" t="str">
        <x:v>Compile and review complete procedures</x:v>
      </x:c>
      <x:c r="D22" s="3" t="str">
        <x:v>Local development</x:v>
      </x:c>
      <x:c r="E22" s="7" t="str">
        <x:v>Not started</x:v>
      </x:c>
      <x:c r="F22" s="7" t="str"/>
      <x:c r="G22" s="3" t="str">
        <x:v>CC-T015, CC-T018</x:v>
      </x:c>
      <x:c r="H22" s="3" t="str">
        <x:v>procedure_completeness: complete acceptance and review evidence</x:v>
      </x:c>
      <x:c r="I22" s="7" t="str"/>
      <x:c r="J22" s="3" t="str">
        <x:v>1. Assemble prerequisites, tools, warnings, steps, specifications and final checks.
2. Link every material instruction to evidence.
3. Track draft, approved and stale states.
4. Add review of missing dependencies and source conflicts.</x:v>
      </x:c>
      <x:c r="K22" s="7" t="str"/>
      <x:c r="L22" s="3" t="str">
        <x:v>Engineering</x:v>
      </x:c>
      <x:c r="M22" s="3" t="str">
        <x:v>Initial</x:v>
      </x:c>
      <x:c r="N22" s="3" t="str">
        <x:v>["CC-T015","CC-T018"]</x:v>
      </x:c>
      <x:c r="O22" s="3" t="str">
        <x:v>[]</x:v>
      </x:c>
      <x:c r="P22" s="3" t="str">
        <x:v>["CC-E077","CC-E078","CC-E079","CC-E080"]</x:v>
      </x:c>
      <x:c r="Q22" s="3" t="str">
        <x:v>["CC-R091","CC-R092","CC-R093","CC-R094","CC-R095"]</x:v>
      </x:c>
      <x:c r="R22" s="3" t="n">
        <x:v>190</x:v>
      </x:c>
      <x:c r="S22" s="3" t="str">
        <x:v>CC_Workshop_Implementation_Plan.md#cc-t019--compile-and-review-complete-procedures</x:v>
      </x:c>
      <x:c r="T22" s="3" t="str">
        <x:v>1. A correct torque does not compensate for a missing warning.
2. Missing replacement instructions prevent complete approval.
3. A changed source or vehicle profile invalidates dependent approval.
4. Unapproved procedures remain visibly drafts.
5. Full supporting source context is accessible during review.</x:v>
      </x:c>
      <x:c r="U22" s="11" t="n">
        <x:f>COUNTIF(tblSteps[Task],[@Task])</x:f>
        <x:v>4</x:v>
      </x:c>
      <x:c r="V22" s="11" t="n">
        <x:f>COUNTIFS(tblSteps[Task],[@Task],tblSteps[Status],"Done")</x:f>
        <x:v>0</x:v>
      </x:c>
      <x:c r="W22" s="11" t="n">
        <x:f>COUNTIFS(tblSteps[Task],[@Task],tblSteps[Status],"Skipped")+COUNTIFS(tblSteps[Task],[@Task],tblSteps[Status],"N/A")</x:f>
        <x:v>0</x:v>
      </x:c>
      <x:c r="X22" s="12" t="n">
        <x:f>IF([@Step total]=0,0,([@Steps done]+[@Steps waived])/[@Step total])</x:f>
        <x:v>0</x:v>
      </x:c>
      <x:c r="Y22" s="12" t="n">
        <x:f>IF([@Step total]=0,0,[@Steps done]/[@Step total])</x:f>
        <x:v>0</x:v>
      </x:c>
      <x:c r="Z22" s="7" t="str">
        <x:v>Not evaluated</x:v>
      </x:c>
      <x:c r="AA22" s="8" t="n">
        <x:v>46275.51530535879</x:v>
      </x:c>
      <x:c r="AB22" s="3" t="str">
        <x:f>IF(AND([@Status]="Done",OR([@Step total]=0,[@Closed step ratio]&lt;&gt;1,[@Gate state]&lt;&gt;"Passed")),"Review completion","")</x:f>
      </x:c>
    </x:row>
    <x:row r="23" ht="84" customHeight="1">
      <x:c r="A23" s="3" t="str">
        <x:v>CC-T020</x:v>
      </x:c>
      <x:c r="B23" s="3" t="str">
        <x:v>M3 — Repair workflow</x:v>
      </x:c>
      <x:c r="C23" s="3" t="str">
        <x:v>Implement deterministic diagram and export modules</x:v>
      </x:c>
      <x:c r="D23" s="3" t="str">
        <x:v>Local development</x:v>
      </x:c>
      <x:c r="E23" s="7" t="str">
        <x:v>Not started</x:v>
      </x:c>
      <x:c r="F23" s="7" t="str"/>
      <x:c r="G23" s="3" t="str">
        <x:v>CC-T019</x:v>
      </x:c>
      <x:c r="H23" s="3" t="str">
        <x:v>guide_exports: complete acceptance and review evidence</x:v>
      </x:c>
      <x:c r="I23" s="7" t="str"/>
      <x:c r="J23" s="3" t="str">
        <x:v>1. Implement the versioned diagram contract.
2. Compose original figures and typed text.
3. Generate PDF, PNG, procedure JSON and source manifests.
4. Keep unsupported visual steps as cited text.
5. Validate export destination ownership.</x:v>
      </x:c>
      <x:c r="K23" s="7" t="str"/>
      <x:c r="L23" s="3" t="str">
        <x:v>Engineering</x:v>
      </x:c>
      <x:c r="M23" s="3" t="str">
        <x:v>Initial</x:v>
      </x:c>
      <x:c r="N23" s="3" t="str">
        <x:v>["CC-T019"]</x:v>
      </x:c>
      <x:c r="O23" s="3" t="str">
        <x:v>[]</x:v>
      </x:c>
      <x:c r="P23" s="3" t="str">
        <x:v>["CC-E081","CC-E082","CC-E083","CC-E084"]</x:v>
      </x:c>
      <x:c r="Q23" s="3" t="str">
        <x:v>["CC-R096","CC-R097","CC-R098","CC-R099","CC-R100"]</x:v>
      </x:c>
      <x:c r="R23" s="3" t="n">
        <x:v>200</x:v>
      </x:c>
      <x:c r="S23" s="3" t="str">
        <x:v>CC_Workshop_Implementation_Plan.md#cc-t020--implement-deterministic-diagram-and-export-modules</x:v>
      </x:c>
      <x:c r="T23" s="3" t="str">
        <x:v>1. Exported values match approved specification records.
2. Legends, orientation and page references remain readable.
3. No cross-Garage figures or data appear.
4. Printed output remains understandable without a running application.
5. Missing figures do not trigger invented diagrams.</x:v>
      </x:c>
      <x:c r="U23" s="11" t="n">
        <x:f>COUNTIF(tblSteps[Task],[@Task])</x:f>
        <x:v>4</x:v>
      </x:c>
      <x:c r="V23" s="11" t="n">
        <x:f>COUNTIFS(tblSteps[Task],[@Task],tblSteps[Status],"Done")</x:f>
        <x:v>0</x:v>
      </x:c>
      <x:c r="W23" s="11" t="n">
        <x:f>COUNTIFS(tblSteps[Task],[@Task],tblSteps[Status],"Skipped")+COUNTIFS(tblSteps[Task],[@Task],tblSteps[Status],"N/A")</x:f>
        <x:v>0</x:v>
      </x:c>
      <x:c r="X23" s="12" t="n">
        <x:f>IF([@Step total]=0,0,([@Steps done]+[@Steps waived])/[@Step total])</x:f>
        <x:v>0</x:v>
      </x:c>
      <x:c r="Y23" s="12" t="n">
        <x:f>IF([@Step total]=0,0,[@Steps done]/[@Step total])</x:f>
        <x:v>0</x:v>
      </x:c>
      <x:c r="Z23" s="7" t="str">
        <x:v>Not evaluated</x:v>
      </x:c>
      <x:c r="AA23" s="8" t="n">
        <x:v>46275.51530535879</x:v>
      </x:c>
      <x:c r="AB23" s="3" t="str">
        <x:f>IF(AND([@Status]="Done",OR([@Step total]=0,[@Closed step ratio]&lt;&gt;1,[@Gate state]&lt;&gt;"Passed")),"Review completion","")</x:f>
      </x:c>
    </x:row>
    <x:row r="24" ht="84" customHeight="1">
      <x:c r="A24" s="3" t="str">
        <x:v>CC-T021</x:v>
      </x:c>
      <x:c r="B24" s="3" t="str">
        <x:v>M4 — Diagnostic workflow</x:v>
      </x:c>
      <x:c r="C24" s="3" t="str">
        <x:v>Import diagnostic sessions</x:v>
      </x:c>
      <x:c r="D24" s="3" t="str">
        <x:v>Local development</x:v>
      </x:c>
      <x:c r="E24" s="7" t="str">
        <x:v>Not started</x:v>
      </x:c>
      <x:c r="F24" s="7" t="str"/>
      <x:c r="G24" s="3" t="str">
        <x:v>CC-T003, CC-T006</x:v>
      </x:c>
      <x:c r="H24" s="3" t="str">
        <x:v>scan_import: complete acceptance and review evidence</x:v>
      </x:c>
      <x:c r="I24" s="7" t="str"/>
      <x:c r="J24" s="3" t="str">
        <x:v>1. Reuse and test existing supported diagnostic parsers.
2. Import decoded CSV and supported report formats.
3. Preserve originals and decoder identity.
4. Store modules, code status, freeze frames and measurement metadata.
5. Quarantine unsupported proprietary files.</x:v>
      </x:c>
      <x:c r="K24" s="7" t="str"/>
      <x:c r="L24" s="3" t="str">
        <x:v>Engineering</x:v>
      </x:c>
      <x:c r="M24" s="3" t="str">
        <x:v>Initial</x:v>
      </x:c>
      <x:c r="N24" s="3" t="str">
        <x:v>["CC-T003","CC-T006"]</x:v>
      </x:c>
      <x:c r="O24" s="3" t="str">
        <x:v>[]</x:v>
      </x:c>
      <x:c r="P24" s="3" t="str">
        <x:v>["CC-E085","CC-E086","CC-E087","CC-E088"]</x:v>
      </x:c>
      <x:c r="Q24" s="3" t="str">
        <x:v>["CC-R101","CC-R102","CC-R103","CC-R104","CC-R105"]</x:v>
      </x:c>
      <x:c r="R24" s="3" t="n">
        <x:v>210</x:v>
      </x:c>
      <x:c r="S24" s="3" t="str">
        <x:v>CC_Workshop_Implementation_Plan.md#cc-t021--import-diagnostic-sessions</x:v>
      </x:c>
      <x:c r="T24" s="3" t="str">
        <x:v>1. Missing acquisition times remain unknown.
2. Active, pending, historical and cleared statuses remain distinct.
3. Reimporting the same report is idempotent.
4. Malformed rows produce specific review records.
5. A filename does not supply unverified diagnostic meaning.</x:v>
      </x:c>
      <x:c r="U24" s="11" t="n">
        <x:f>COUNTIF(tblSteps[Task],[@Task])</x:f>
        <x:v>4</x:v>
      </x:c>
      <x:c r="V24" s="11" t="n">
        <x:f>COUNTIFS(tblSteps[Task],[@Task],tblSteps[Status],"Done")</x:f>
        <x:v>0</x:v>
      </x:c>
      <x:c r="W24" s="11" t="n">
        <x:f>COUNTIFS(tblSteps[Task],[@Task],tblSteps[Status],"Skipped")+COUNTIFS(tblSteps[Task],[@Task],tblSteps[Status],"N/A")</x:f>
        <x:v>0</x:v>
      </x:c>
      <x:c r="X24" s="12" t="n">
        <x:f>IF([@Step total]=0,0,([@Steps done]+[@Steps waived])/[@Step total])</x:f>
        <x:v>0</x:v>
      </x:c>
      <x:c r="Y24" s="12" t="n">
        <x:f>IF([@Step total]=0,0,[@Steps done]/[@Step total])</x:f>
        <x:v>0</x:v>
      </x:c>
      <x:c r="Z24" s="7" t="str">
        <x:v>Not evaluated</x:v>
      </x:c>
      <x:c r="AA24" s="8" t="n">
        <x:v>46275.51530535879</x:v>
      </x:c>
      <x:c r="AB24" s="3" t="str">
        <x:f>IF(AND([@Status]="Done",OR([@Step total]=0,[@Closed step ratio]&lt;&gt;1,[@Gate state]&lt;&gt;"Passed")),"Review completion","")</x:f>
      </x:c>
    </x:row>
    <x:row r="25" ht="72" customHeight="1">
      <x:c r="A25" s="3" t="str">
        <x:v>CC-T022</x:v>
      </x:c>
      <x:c r="B25" s="3" t="str">
        <x:v>M4 — Diagnostic workflow</x:v>
      </x:c>
      <x:c r="C25" s="3" t="str">
        <x:v>Implement deterministic session comparisons</x:v>
      </x:c>
      <x:c r="D25" s="3" t="str">
        <x:v>Local development</x:v>
      </x:c>
      <x:c r="E25" s="7" t="str">
        <x:v>Not started</x:v>
      </x:c>
      <x:c r="F25" s="7" t="str"/>
      <x:c r="G25" s="3" t="str">
        <x:v>CC-T021</x:v>
      </x:c>
      <x:c r="H25" s="3" t="str">
        <x:v>session_comparison: complete acceptance and review evidence</x:v>
      </x:c>
      <x:c r="I25" s="7" t="str"/>
      <x:c r="J25" s="3" t="str">
        <x:v>1. Compare explicitly selected sessions.
2. Normalize supported units through tested conversion functions.
3. Preserve raw values.
4. Report unmatched or incomparable signals.
5. Distinguish code disappearance from verified repair success.</x:v>
      </x:c>
      <x:c r="K25" s="7" t="str"/>
      <x:c r="L25" s="3" t="str">
        <x:v>Engineering</x:v>
      </x:c>
      <x:c r="M25" s="3" t="str">
        <x:v>Initial</x:v>
      </x:c>
      <x:c r="N25" s="3" t="str">
        <x:v>["CC-T021"]</x:v>
      </x:c>
      <x:c r="O25" s="3" t="str">
        <x:v>[]</x:v>
      </x:c>
      <x:c r="P25" s="3" t="str">
        <x:v>["CC-E089","CC-E090","CC-E091","CC-E092"]</x:v>
      </x:c>
      <x:c r="Q25" s="3" t="str">
        <x:v>["CC-R106","CC-R107","CC-R108","CC-R109","CC-R110"]</x:v>
      </x:c>
      <x:c r="R25" s="3" t="n">
        <x:v>220</x:v>
      </x:c>
      <x:c r="S25" s="3" t="str">
        <x:v>CC_Workshop_Implementation_Plan.md#cc-t022--implement-deterministic-session-comparisons</x:v>
      </x:c>
      <x:c r="T25" s="3" t="str">
        <x:v>1. Known fixtures produce exact expected differences.
2. Incompatible units are not silently compared.
3. Unknown timestamps do not create invented trends.
4. Session ordering does not depend on filenames.
5. Cleared codes do not automatically close a case as repaired.</x:v>
      </x:c>
      <x:c r="U25" s="11" t="n">
        <x:f>COUNTIF(tblSteps[Task],[@Task])</x:f>
        <x:v>4</x:v>
      </x:c>
      <x:c r="V25" s="11" t="n">
        <x:f>COUNTIFS(tblSteps[Task],[@Task],tblSteps[Status],"Done")</x:f>
        <x:v>0</x:v>
      </x:c>
      <x:c r="W25" s="11" t="n">
        <x:f>COUNTIFS(tblSteps[Task],[@Task],tblSteps[Status],"Skipped")+COUNTIFS(tblSteps[Task],[@Task],tblSteps[Status],"N/A")</x:f>
        <x:v>0</x:v>
      </x:c>
      <x:c r="X25" s="12" t="n">
        <x:f>IF([@Step total]=0,0,([@Steps done]+[@Steps waived])/[@Step total])</x:f>
        <x:v>0</x:v>
      </x:c>
      <x:c r="Y25" s="12" t="n">
        <x:f>IF([@Step total]=0,0,[@Steps done]/[@Step total])</x:f>
        <x:v>0</x:v>
      </x:c>
      <x:c r="Z25" s="7" t="str">
        <x:v>Not evaluated</x:v>
      </x:c>
      <x:c r="AA25" s="8" t="n">
        <x:v>46275.51530535879</x:v>
      </x:c>
      <x:c r="AB25" s="3" t="str">
        <x:f>IF(AND([@Status]="Done",OR([@Step total]=0,[@Closed step ratio]&lt;&gt;1,[@Gate state]&lt;&gt;"Passed")),"Review completion","")</x:f>
      </x:c>
    </x:row>
    <x:row r="26" ht="84" customHeight="1">
      <x:c r="A26" s="3" t="str">
        <x:v>CC-T023</x:v>
      </x:c>
      <x:c r="B26" s="3" t="str">
        <x:v>M4 — Diagnostic workflow</x:v>
      </x:c>
      <x:c r="C26" s="3" t="str">
        <x:v>Add local vision evidence</x:v>
      </x:c>
      <x:c r="D26" s="3" t="str">
        <x:v>Local development; actual supported hardware for hardware gates</x:v>
      </x:c>
      <x:c r="E26" s="7" t="str">
        <x:v>Not started</x:v>
      </x:c>
      <x:c r="F26" s="7" t="str"/>
      <x:c r="G26" s="3" t="str">
        <x:v>CC-T011, CC-T016, CC-T017</x:v>
      </x:c>
      <x:c r="H26" s="3" t="str">
        <x:v>vision_evidence: complete acceptance and review evidence</x:v>
      </x:c>
      <x:c r="I26" s="7" t="str"/>
      <x:c r="J26" s="3" t="str">
        <x:v>1. Add image uploads scoped to a Garage and case.
2. Validate image type and decode limits.
3. Submit local image data through the tested provider format.
4. Record image-derived observations separately from confirmed findings.
5. Preserve attachment provenance.</x:v>
      </x:c>
      <x:c r="K26" s="7" t="str"/>
      <x:c r="L26" s="3" t="str">
        <x:v>Engineering</x:v>
      </x:c>
      <x:c r="M26" s="3" t="str">
        <x:v>Initial</x:v>
      </x:c>
      <x:c r="N26" s="3" t="str">
        <x:v>["CC-T011","CC-T016","CC-T017"]</x:v>
      </x:c>
      <x:c r="O26" s="3" t="str">
        <x:v>[]</x:v>
      </x:c>
      <x:c r="P26" s="3" t="str">
        <x:v>["CC-E093","CC-E094","CC-E095","CC-E096"]</x:v>
      </x:c>
      <x:c r="Q26" s="3" t="str">
        <x:v>["CC-R111","CC-R112","CC-R113","CC-R114","CC-R115"]</x:v>
      </x:c>
      <x:c r="R26" s="3" t="n">
        <x:v>230</x:v>
      </x:c>
      <x:c r="S26" s="3" t="str">
        <x:v>CC_Workshop_Implementation_Plan.md#cc-t023--add-local-vision-evidence</x:v>
      </x:c>
      <x:c r="T26" s="3" t="str">
        <x:v>1. A text-only provider rejects vision clearly.
2. Images remain within the selected Garage.
3. Ambiguous visual observations are labelled accordingly.
4. The model cannot manufacture a measurement from an image.
5. Upload and analysis work with internet disconnected.</x:v>
      </x:c>
      <x:c r="U26" s="11" t="n">
        <x:f>COUNTIF(tblSteps[Task],[@Task])</x:f>
        <x:v>4</x:v>
      </x:c>
      <x:c r="V26" s="11" t="n">
        <x:f>COUNTIFS(tblSteps[Task],[@Task],tblSteps[Status],"Done")</x:f>
        <x:v>0</x:v>
      </x:c>
      <x:c r="W26" s="11" t="n">
        <x:f>COUNTIFS(tblSteps[Task],[@Task],tblSteps[Status],"Skipped")+COUNTIFS(tblSteps[Task],[@Task],tblSteps[Status],"N/A")</x:f>
        <x:v>0</x:v>
      </x:c>
      <x:c r="X26" s="12" t="n">
        <x:f>IF([@Step total]=0,0,([@Steps done]+[@Steps waived])/[@Step total])</x:f>
        <x:v>0</x:v>
      </x:c>
      <x:c r="Y26" s="12" t="n">
        <x:f>IF([@Step total]=0,0,[@Steps done]/[@Step total])</x:f>
        <x:v>0</x:v>
      </x:c>
      <x:c r="Z26" s="7" t="str">
        <x:v>Not evaluated</x:v>
      </x:c>
      <x:c r="AA26" s="8" t="n">
        <x:v>46275.51530535879</x:v>
      </x:c>
      <x:c r="AB26" s="3" t="str">
        <x:f>IF(AND([@Status]="Done",OR([@Step total]=0,[@Closed step ratio]&lt;&gt;1,[@Gate state]&lt;&gt;"Passed")),"Review completion","")</x:f>
      </x:c>
    </x:row>
    <x:row r="27" ht="72" customHeight="1">
      <x:c r="A27" s="3" t="str">
        <x:v>CC-T024</x:v>
      </x:c>
      <x:c r="B27" s="3" t="str">
        <x:v>M4 — Diagnostic workflow</x:v>
      </x:c>
      <x:c r="C27" s="3" t="str">
        <x:v>Implement diagnostic cases</x:v>
      </x:c>
      <x:c r="D27" s="3" t="str">
        <x:v>Local development</x:v>
      </x:c>
      <x:c r="E27" s="7" t="str">
        <x:v>Not started</x:v>
      </x:c>
      <x:c r="F27" s="7" t="str"/>
      <x:c r="G27" s="3" t="str">
        <x:v>CC-T014, CC-T016, CC-T019, CC-T022, CC-T023</x:v>
      </x:c>
      <x:c r="H27" s="3" t="str">
        <x:v>diagnostic_cases: complete acceptance and review evidence</x:v>
      </x:c>
      <x:c r="I27" s="7" t="str"/>
      <x:c r="J27" s="3" t="str">
        <x:v>1. Persist symptoms, observations, hypotheses and test outcomes.
2. Combine source evidence with selected historical sessions.
3. Produce ranked hypotheses and supported next tests.
4. Link procedures and measurements to the case.
5. Attribute user-recorded outcomes.</x:v>
      </x:c>
      <x:c r="K27" s="7" t="str"/>
      <x:c r="L27" s="3" t="str">
        <x:v>Engineering</x:v>
      </x:c>
      <x:c r="M27" s="3" t="str">
        <x:v>Initial</x:v>
      </x:c>
      <x:c r="N27" s="3" t="str">
        <x:v>["CC-T014","CC-T016","CC-T019","CC-T022","CC-T023"]</x:v>
      </x:c>
      <x:c r="O27" s="3" t="str">
        <x:v>[]</x:v>
      </x:c>
      <x:c r="P27" s="3" t="str">
        <x:v>["CC-E097","CC-E098","CC-E099","CC-E100"]</x:v>
      </x:c>
      <x:c r="Q27" s="3" t="str">
        <x:v>["CC-R116","CC-R117","CC-R118","CC-R119","CC-R120"]</x:v>
      </x:c>
      <x:c r="R27" s="3" t="n">
        <x:v>240</x:v>
      </x:c>
      <x:c r="S27" s="3" t="str">
        <x:v>CC_Workshop_Implementation_Plan.md#cc-t024--implement-diagnostic-cases</x:v>
      </x:c>
      <x:c r="T27" s="3" t="str">
        <x:v>1. Historical DTCs are not presented as current without evidence.
2. Hypotheses remain distinct from findings.
3. A diagnosis cannot invent measurements.
4. A DTC does not directly become a parts-replacement recommendation.
5. Case history survives restart and remains vehicle-scoped.</x:v>
      </x:c>
      <x:c r="U27" s="11" t="n">
        <x:f>COUNTIF(tblSteps[Task],[@Task])</x:f>
        <x:v>4</x:v>
      </x:c>
      <x:c r="V27" s="11" t="n">
        <x:f>COUNTIFS(tblSteps[Task],[@Task],tblSteps[Status],"Done")</x:f>
        <x:v>0</x:v>
      </x:c>
      <x:c r="W27" s="11" t="n">
        <x:f>COUNTIFS(tblSteps[Task],[@Task],tblSteps[Status],"Skipped")+COUNTIFS(tblSteps[Task],[@Task],tblSteps[Status],"N/A")</x:f>
        <x:v>0</x:v>
      </x:c>
      <x:c r="X27" s="12" t="n">
        <x:f>IF([@Step total]=0,0,([@Steps done]+[@Steps waived])/[@Step total])</x:f>
        <x:v>0</x:v>
      </x:c>
      <x:c r="Y27" s="12" t="n">
        <x:f>IF([@Step total]=0,0,[@Steps done]/[@Step total])</x:f>
        <x:v>0</x:v>
      </x:c>
      <x:c r="Z27" s="7" t="str">
        <x:v>Not evaluated</x:v>
      </x:c>
      <x:c r="AA27" s="8" t="n">
        <x:v>46275.51530535879</x:v>
      </x:c>
      <x:c r="AB27" s="3" t="str">
        <x:f>IF(AND([@Status]="Done",OR([@Step total]=0,[@Closed step ratio]&lt;&gt;1,[@Gate state]&lt;&gt;"Passed")),"Review completion","")</x:f>
      </x:c>
    </x:row>
    <x:row r="28" ht="120" customHeight="1">
      <x:c r="A28" s="3" t="str">
        <x:v>CC-T025</x:v>
      </x:c>
      <x:c r="B28" s="3" t="str">
        <x:v>M5 — Pilot and library</x:v>
      </x:c>
      <x:c r="C28" s="3" t="str">
        <x:v>Prove one complete repair workflow</x:v>
      </x:c>
      <x:c r="D28" s="3" t="str">
        <x:v>Local development and applicable original manual review</x:v>
      </x:c>
      <x:c r="E28" s="7" t="str">
        <x:v>Not started</x:v>
      </x:c>
      <x:c r="F28" s="7" t="str"/>
      <x:c r="G28" s="3" t="str">
        <x:v>CC-T020, CC-T024</x:v>
      </x:c>
      <x:c r="H28" s="3" t="str">
        <x:v>pilot_workflow: complete acceptance and review evidence</x:v>
      </x:c>
      <x:c r="I28" s="7" t="str"/>
      <x:c r="J28" s="3" t="str">
        <x:v>1. Use a brake procedure only after its exact vehicle applicability is confirmed.
2. Reconcile its complete original source context.
3. Exercise source import, retrieval, answer, procedure review and illustrated export.
4. Repeat with deliberately missing and conflicting evidence.
Input gate: If the applicable original manual or confirmed vehicle configuration is unavailable, block this task. Continue unrelated engineering work; do not substitute guessed applicability.</x:v>
      </x:c>
      <x:c r="K28" s="7" t="str"/>
      <x:c r="L28" s="3" t="str">
        <x:v>Engineering</x:v>
      </x:c>
      <x:c r="M28" s="3" t="str">
        <x:v>Initial</x:v>
      </x:c>
      <x:c r="N28" s="3" t="str">
        <x:v>["CC-T020","CC-T024"]</x:v>
      </x:c>
      <x:c r="O28" s="3" t="str">
        <x:v>[]</x:v>
      </x:c>
      <x:c r="P28" s="3" t="str">
        <x:v>["CC-E101","CC-E102","CC-E103","CC-E104"]</x:v>
      </x:c>
      <x:c r="Q28" s="3" t="str">
        <x:v>["CC-R121","CC-R122","CC-R123","CC-R124"]</x:v>
      </x:c>
      <x:c r="R28" s="3" t="n">
        <x:v>250</x:v>
      </x:c>
      <x:c r="S28" s="3" t="str">
        <x:v>CC_Workshop_Implementation_Plan.md#cc-t025--prove-one-complete-repair-workflow</x:v>
      </x:c>
      <x:c r="T28" s="3" t="str">
        <x:v>1. A reviewer can trace every material instruction to the applicable original.
2. Component identity, warnings, specification stages, figures and final checks are complete.
3. Missing or conflicting evidence produces the correct withholding state.
4. The pilot’s observed results are recorded separately from synthetic tests.</x:v>
      </x:c>
      <x:c r="U28" s="11" t="n">
        <x:f>COUNTIF(tblSteps[Task],[@Task])</x:f>
        <x:v>4</x:v>
      </x:c>
      <x:c r="V28" s="11" t="n">
        <x:f>COUNTIFS(tblSteps[Task],[@Task],tblSteps[Status],"Done")</x:f>
        <x:v>0</x:v>
      </x:c>
      <x:c r="W28" s="11" t="n">
        <x:f>COUNTIFS(tblSteps[Task],[@Task],tblSteps[Status],"Skipped")+COUNTIFS(tblSteps[Task],[@Task],tblSteps[Status],"N/A")</x:f>
        <x:v>0</x:v>
      </x:c>
      <x:c r="X28" s="12" t="n">
        <x:f>IF([@Step total]=0,0,([@Steps done]+[@Steps waived])/[@Step total])</x:f>
        <x:v>0</x:v>
      </x:c>
      <x:c r="Y28" s="12" t="n">
        <x:f>IF([@Step total]=0,0,[@Steps done]/[@Step total])</x:f>
        <x:v>0</x:v>
      </x:c>
      <x:c r="Z28" s="7" t="str">
        <x:v>Not evaluated</x:v>
      </x:c>
      <x:c r="AA28" s="8" t="n">
        <x:v>46275.51530535879</x:v>
      </x:c>
      <x:c r="AB28" s="3" t="str">
        <x:f>IF(AND([@Status]="Done",OR([@Step total]=0,[@Closed step ratio]&lt;&gt;1,[@Gate state]&lt;&gt;"Passed")),"Review completion","")</x:f>
      </x:c>
    </x:row>
    <x:row r="29" ht="72" customHeight="1">
      <x:c r="A29" s="3" t="str">
        <x:v>CC-T026</x:v>
      </x:c>
      <x:c r="B29" s="3" t="str">
        <x:v>M5 — Pilot and library</x:v>
      </x:c>
      <x:c r="C29" s="3" t="str">
        <x:v>Expand the validated library</x:v>
      </x:c>
      <x:c r="D29" s="3" t="str">
        <x:v>Local development and applicable original manual review</x:v>
      </x:c>
      <x:c r="E29" s="7" t="str">
        <x:v>Not started</x:v>
      </x:c>
      <x:c r="F29" s="7" t="str"/>
      <x:c r="G29" s="3" t="str">
        <x:v>CC-T025</x:v>
      </x:c>
      <x:c r="H29" s="3" t="str">
        <x:v>corpus_expansion: complete acceptance and review evidence</x:v>
      </x:c>
      <x:c r="I29" s="7" t="str"/>
      <x:c r="J29" s="3" t="str">
        <x:v>1. Add engine, transmission, electrical and wiring material through the same pipeline.
2. Review source applicability and completeness per document.
3. Maintain a coverage matrix.
4. Add wrong-variant distractors to evaluation fixtures.</x:v>
      </x:c>
      <x:c r="K29" s="7" t="str"/>
      <x:c r="L29" s="3" t="str">
        <x:v>Engineering</x:v>
      </x:c>
      <x:c r="M29" s="3" t="str">
        <x:v>Initial</x:v>
      </x:c>
      <x:c r="N29" s="3" t="str">
        <x:v>["CC-T025"]</x:v>
      </x:c>
      <x:c r="O29" s="3" t="str">
        <x:v>[]</x:v>
      </x:c>
      <x:c r="P29" s="3" t="str">
        <x:v>["CC-E105","CC-E106","CC-E107","CC-E108"]</x:v>
      </x:c>
      <x:c r="Q29" s="3" t="str">
        <x:v>["CC-R125","CC-R126","CC-R127","CC-R128"]</x:v>
      </x:c>
      <x:c r="R29" s="3" t="n">
        <x:v>260</x:v>
      </x:c>
      <x:c r="S29" s="3" t="str">
        <x:v>CC_Workshop_Implementation_Plan.md#cc-t026--expand-the-validated-library</x:v>
      </x:c>
      <x:c r="T29" s="3" t="str">
        <x:v>1. Each published source has provenance and applicability records.
2. The potentially incompatible transmission material remains excluded until resolved.
3. Coverage gaps remain explicit.
4. New sources do not regress the pilot’s results.</x:v>
      </x:c>
      <x:c r="U29" s="11" t="n">
        <x:f>COUNTIF(tblSteps[Task],[@Task])</x:f>
        <x:v>4</x:v>
      </x:c>
      <x:c r="V29" s="11" t="n">
        <x:f>COUNTIFS(tblSteps[Task],[@Task],tblSteps[Status],"Done")</x:f>
        <x:v>0</x:v>
      </x:c>
      <x:c r="W29" s="11" t="n">
        <x:f>COUNTIFS(tblSteps[Task],[@Task],tblSteps[Status],"Skipped")+COUNTIFS(tblSteps[Task],[@Task],tblSteps[Status],"N/A")</x:f>
        <x:v>0</x:v>
      </x:c>
      <x:c r="X29" s="12" t="n">
        <x:f>IF([@Step total]=0,0,([@Steps done]+[@Steps waived])/[@Step total])</x:f>
        <x:v>0</x:v>
      </x:c>
      <x:c r="Y29" s="12" t="n">
        <x:f>IF([@Step total]=0,0,[@Steps done]/[@Step total])</x:f>
        <x:v>0</x:v>
      </x:c>
      <x:c r="Z29" s="7" t="str">
        <x:v>Not evaluated</x:v>
      </x:c>
      <x:c r="AA29" s="8" t="n">
        <x:v>46275.51530535879</x:v>
      </x:c>
      <x:c r="AB29" s="3" t="str">
        <x:f>IF(AND([@Status]="Done",OR([@Step total]=0,[@Closed step ratio]&lt;&gt;1,[@Gate state]&lt;&gt;"Passed")),"Review completion","")</x:f>
      </x:c>
    </x:row>
    <x:row r="30" ht="84" customHeight="1">
      <x:c r="A30" s="3" t="str">
        <x:v>CC-T027</x:v>
      </x:c>
      <x:c r="B30" s="3" t="str">
        <x:v>M6 — Daily-use packaging</x:v>
      </x:c>
      <x:c r="C30" s="3" t="str">
        <x:v>Verify offline behavior and optional LAN access</x:v>
      </x:c>
      <x:c r="D30" s="3" t="str">
        <x:v>Local machine and authenticated LAN/offline test environment</x:v>
      </x:c>
      <x:c r="E30" s="7" t="str">
        <x:v>Not started</x:v>
      </x:c>
      <x:c r="F30" s="7" t="str"/>
      <x:c r="G30" s="3" t="str">
        <x:v>CC-T017, CC-T024</x:v>
      </x:c>
      <x:c r="H30" s="3" t="str">
        <x:v>offline_and_lan: complete acceptance and review evidence</x:v>
      </x:c>
      <x:c r="I30" s="7" t="str"/>
      <x:c r="J30" s="3" t="str">
        <x:v>1. Enforce local-only endpoint policy.
2. Remove runtime CDN, telemetry and cloud routing dependencies.
3. Add owner authentication and optional LAN HTTPS.
4. Keep all model and database services private.
5. Document client trust setup.</x:v>
      </x:c>
      <x:c r="K30" s="7" t="str"/>
      <x:c r="L30" s="3" t="str">
        <x:v>Engineering</x:v>
      </x:c>
      <x:c r="M30" s="3" t="str">
        <x:v>Initial</x:v>
      </x:c>
      <x:c r="N30" s="3" t="str">
        <x:v>["CC-T017","CC-T024"]</x:v>
      </x:c>
      <x:c r="O30" s="3" t="str">
        <x:v>[]</x:v>
      </x:c>
      <x:c r="P30" s="3" t="str">
        <x:v>["CC-E109","CC-E110","CC-E111","CC-E112"]</x:v>
      </x:c>
      <x:c r="Q30" s="3" t="str">
        <x:v>["CC-R129","CC-R130","CC-R131","CC-R132","CC-R133"]</x:v>
      </x:c>
      <x:c r="R30" s="3" t="n">
        <x:v>270</x:v>
      </x:c>
      <x:c r="S30" s="3" t="str">
        <x:v>CC_Workshop_Implementation_Plan.md#cc-t027--verify-offline-behavior-and-optional-lan-access</x:v>
      </x:c>
      <x:c r="T30" s="3" t="str">
        <x:v>1. Internet-disconnected search, answers, images, citations and exports work.
2. LAN is disabled by default.
3. Unauthenticated clients cannot access vehicle data.
4. Model ports are not exposed to the LAN.
5. Network observation finds no unexpected public connections.</x:v>
      </x:c>
      <x:c r="U30" s="11" t="n">
        <x:f>COUNTIF(tblSteps[Task],[@Task])</x:f>
        <x:v>4</x:v>
      </x:c>
      <x:c r="V30" s="11" t="n">
        <x:f>COUNTIFS(tblSteps[Task],[@Task],tblSteps[Status],"Done")</x:f>
        <x:v>0</x:v>
      </x:c>
      <x:c r="W30" s="11" t="n">
        <x:f>COUNTIFS(tblSteps[Task],[@Task],tblSteps[Status],"Skipped")+COUNTIFS(tblSteps[Task],[@Task],tblSteps[Status],"N/A")</x:f>
        <x:v>0</x:v>
      </x:c>
      <x:c r="X30" s="12" t="n">
        <x:f>IF([@Step total]=0,0,([@Steps done]+[@Steps waived])/[@Step total])</x:f>
        <x:v>0</x:v>
      </x:c>
      <x:c r="Y30" s="12" t="n">
        <x:f>IF([@Step total]=0,0,[@Steps done]/[@Step total])</x:f>
        <x:v>0</x:v>
      </x:c>
      <x:c r="Z30" s="7" t="str">
        <x:v>Not evaluated</x:v>
      </x:c>
      <x:c r="AA30" s="8" t="n">
        <x:v>46275.51530535879</x:v>
      </x:c>
      <x:c r="AB30" s="3" t="str">
        <x:f>IF(AND([@Status]="Done",OR([@Step total]=0,[@Closed step ratio]&lt;&gt;1,[@Gate state]&lt;&gt;"Passed")),"Review completion","")</x:f>
      </x:c>
    </x:row>
    <x:row r="31" ht="96" customHeight="1">
      <x:c r="A31" s="3" t="str">
        <x:v>CC-T028</x:v>
      </x:c>
      <x:c r="B31" s="3" t="str">
        <x:v>M6 — Daily-use packaging</x:v>
      </x:c>
      <x:c r="C31" s="3" t="str">
        <x:v>Implement migration, backup and restore</x:v>
      </x:c>
      <x:c r="D31" s="3" t="str">
        <x:v>Local development</x:v>
      </x:c>
      <x:c r="E31" s="7" t="str">
        <x:v>Not started</x:v>
      </x:c>
      <x:c r="F31" s="7" t="str"/>
      <x:c r="G31" s="3" t="str">
        <x:v>CC-T013, CC-T020, CC-T024</x:v>
      </x:c>
      <x:c r="H31" s="3" t="str">
        <x:v>backup_restore: complete acceptance and review evidence</x:v>
      </x:c>
      <x:c r="I31" s="7" t="str"/>
      <x:c r="J31" s="3" t="str">
        <x:v>1. Import legacy JSONL, manifests and compatible database exports through a migration boundary.
2. Preserve originals and report unresolved mappings.
3. Back up application records, source files, exports and version manifests.
4. Rebuild disposable indexes when required.
5. Restore into a separate clean data root before activation.</x:v>
      </x:c>
      <x:c r="K31" s="7" t="str"/>
      <x:c r="L31" s="3" t="str">
        <x:v>Engineering</x:v>
      </x:c>
      <x:c r="M31" s="3" t="str">
        <x:v>Initial</x:v>
      </x:c>
      <x:c r="N31" s="3" t="str">
        <x:v>["CC-T013","CC-T020","CC-T024"]</x:v>
      </x:c>
      <x:c r="O31" s="3" t="str">
        <x:v>[]</x:v>
      </x:c>
      <x:c r="P31" s="3" t="str">
        <x:v>["CC-E113","CC-E114","CC-E115","CC-E116"]</x:v>
      </x:c>
      <x:c r="Q31" s="3" t="str">
        <x:v>["CC-R134","CC-R135","CC-R136","CC-R137","CC-R138"]</x:v>
      </x:c>
      <x:c r="R31" s="3" t="n">
        <x:v>280</x:v>
      </x:c>
      <x:c r="S31" s="3" t="str">
        <x:v>CC_Workshop_Implementation_Plan.md#cc-t028--implement-migration-backup-and-restore</x:v>
      </x:c>
      <x:c r="T31" s="3" t="str">
        <x:v>1. Migration reports reconcile imported, rejected and unresolved records.
2. The original dataset remains intact.
3. Restored vehicle history and source links match the backup.
4. Incompatible schema versions fail before replacing current data.
5. A corrupt backup leaves the current installation usable.</x:v>
      </x:c>
      <x:c r="U31" s="11" t="n">
        <x:f>COUNTIF(tblSteps[Task],[@Task])</x:f>
        <x:v>4</x:v>
      </x:c>
      <x:c r="V31" s="11" t="n">
        <x:f>COUNTIFS(tblSteps[Task],[@Task],tblSteps[Status],"Done")</x:f>
        <x:v>0</x:v>
      </x:c>
      <x:c r="W31" s="11" t="n">
        <x:f>COUNTIFS(tblSteps[Task],[@Task],tblSteps[Status],"Skipped")+COUNTIFS(tblSteps[Task],[@Task],tblSteps[Status],"N/A")</x:f>
        <x:v>0</x:v>
      </x:c>
      <x:c r="X31" s="12" t="n">
        <x:f>IF([@Step total]=0,0,([@Steps done]+[@Steps waived])/[@Step total])</x:f>
        <x:v>0</x:v>
      </x:c>
      <x:c r="Y31" s="12" t="n">
        <x:f>IF([@Step total]=0,0,[@Steps done]/[@Step total])</x:f>
        <x:v>0</x:v>
      </x:c>
      <x:c r="Z31" s="7" t="str">
        <x:v>Not evaluated</x:v>
      </x:c>
      <x:c r="AA31" s="8" t="n">
        <x:v>46275.51530535879</x:v>
      </x:c>
      <x:c r="AB31" s="3" t="str">
        <x:f>IF(AND([@Status]="Done",OR([@Step total]=0,[@Closed step ratio]&lt;&gt;1,[@Gate state]&lt;&gt;"Passed")),"Review completion","")</x:f>
      </x:c>
    </x:row>
    <x:row r="32" ht="96" customHeight="1">
      <x:c r="A32" s="3" t="str">
        <x:v>CC-T029</x:v>
      </x:c>
      <x:c r="B32" s="3" t="str">
        <x:v>M6 — Daily-use packaging</x:v>
      </x:c>
      <x:c r="C32" s="3" t="str">
        <x:v>Build the Windows installer and offline kit</x:v>
      </x:c>
      <x:c r="D32" s="3" t="str">
        <x:v>Windows x64; clean installation environment</x:v>
      </x:c>
      <x:c r="E32" s="7" t="str">
        <x:v>Not started</x:v>
      </x:c>
      <x:c r="F32" s="7" t="str"/>
      <x:c r="G32" s="3" t="str">
        <x:v>CC-T011, CC-T012, CC-T027, CC-T028</x:v>
      </x:c>
      <x:c r="H32" s="3" t="str">
        <x:v>windows_installation: complete acceptance and review evidence</x:v>
      </x:c>
      <x:c r="I32" s="7" t="str"/>
      <x:c r="J32" s="3" t="str">
        <x:v>1. Build the application folder bundle.
2. Include native dependencies, PDF assets, OCR assets and the selected runtime.
3. Handle the required WebView runtime through an explicit installation/offline provisioning path.
4. Create the installer and offline asset manifest.
5. Preserve user data during upgrade and default uninstall.</x:v>
      </x:c>
      <x:c r="K32" s="7" t="str"/>
      <x:c r="L32" s="3" t="str">
        <x:v>Engineering</x:v>
      </x:c>
      <x:c r="M32" s="3" t="str">
        <x:v>Initial</x:v>
      </x:c>
      <x:c r="N32" s="3" t="str">
        <x:v>["CC-T011","CC-T012","CC-T027","CC-T028"]</x:v>
      </x:c>
      <x:c r="O32" s="3" t="str">
        <x:v>[]</x:v>
      </x:c>
      <x:c r="P32" s="3" t="str">
        <x:v>["CC-E117","CC-E118","CC-E119","CC-E120"]</x:v>
      </x:c>
      <x:c r="Q32" s="3" t="str">
        <x:v>["CC-R139","CC-R140","CC-R141","CC-R142","CC-R143"]</x:v>
      </x:c>
      <x:c r="R32" s="3" t="n">
        <x:v>290</x:v>
      </x:c>
      <x:c r="S32" s="3" t="str">
        <x:v>CC_Workshop_Implementation_Plan.md#cc-t029--build-the-windows-installer-and-offline-kit</x:v>
      </x:c>
      <x:c r="T32" s="3" t="str">
        <x:v>1. Installation works on a clean supported Windows profile.
2. No pre-existing Python, Ollama or development cache is required.
3. Missing model assets produce an actionable setup state.
4. Upgrade preserves Garages.
5. Uninstall behavior clearly distinguishes application removal from user-data deletion.</x:v>
      </x:c>
      <x:c r="U32" s="11" t="n">
        <x:f>COUNTIF(tblSteps[Task],[@Task])</x:f>
        <x:v>4</x:v>
      </x:c>
      <x:c r="V32" s="11" t="n">
        <x:f>COUNTIFS(tblSteps[Task],[@Task],tblSteps[Status],"Done")</x:f>
        <x:v>0</x:v>
      </x:c>
      <x:c r="W32" s="11" t="n">
        <x:f>COUNTIFS(tblSteps[Task],[@Task],tblSteps[Status],"Skipped")+COUNTIFS(tblSteps[Task],[@Task],tblSteps[Status],"N/A")</x:f>
        <x:v>0</x:v>
      </x:c>
      <x:c r="X32" s="12" t="n">
        <x:f>IF([@Step total]=0,0,([@Steps done]+[@Steps waived])/[@Step total])</x:f>
        <x:v>0</x:v>
      </x:c>
      <x:c r="Y32" s="12" t="n">
        <x:f>IF([@Step total]=0,0,[@Steps done]/[@Step total])</x:f>
        <x:v>0</x:v>
      </x:c>
      <x:c r="Z32" s="7" t="str">
        <x:v>Not evaluated</x:v>
      </x:c>
      <x:c r="AA32" s="8" t="n">
        <x:v>46275.51530535879</x:v>
      </x:c>
      <x:c r="AB32" s="3" t="str">
        <x:f>IF(AND([@Status]="Done",OR([@Step total]=0,[@Closed step ratio]&lt;&gt;1,[@Gate state]&lt;&gt;"Passed")),"Review completion","")</x:f>
      </x:c>
    </x:row>
    <x:row r="33" ht="108" customHeight="1">
      <x:c r="A33" s="3" t="str">
        <x:v>CC-T030</x:v>
      </x:c>
      <x:c r="B33" s="3" t="str">
        <x:v>M7 — Release handover</x:v>
      </x:c>
      <x:c r="C33" s="3" t="str">
        <x:v>Benchmark portable hardware profiles</x:v>
      </x:c>
      <x:c r="D33" s="3" t="str">
        <x:v>Local development; actual supported hardware for hardware gates</x:v>
      </x:c>
      <x:c r="E33" s="7" t="str">
        <x:v>Not started</x:v>
      </x:c>
      <x:c r="F33" s="7" t="str"/>
      <x:c r="G33" s="3" t="str">
        <x:v>CC-T026, CC-T029</x:v>
      </x:c>
      <x:c r="H33" s="3" t="str">
        <x:v>hardware_profiles: complete acceptance and review evidence</x:v>
      </x:c>
      <x:c r="I33" s="7" t="str"/>
      <x:c r="J33" s="3" t="str">
        <x:v>1. Run a fixed workload across available hardware tiers.
2. Measure model load time, response latency, peak RAM/VRAM, indexing throughput and disk use.
3. Exercise out-of-memory recovery and configuration rollback.
4. Publish supported, experimental and untested profile states.</x:v>
      </x:c>
      <x:c r="K33" s="7" t="str"/>
      <x:c r="L33" s="3" t="str">
        <x:v>Engineering</x:v>
      </x:c>
      <x:c r="M33" s="3" t="str">
        <x:v>Initial</x:v>
      </x:c>
      <x:c r="N33" s="3" t="str">
        <x:v>["CC-T026","CC-T029"]</x:v>
      </x:c>
      <x:c r="O33" s="3" t="str">
        <x:v>[]</x:v>
      </x:c>
      <x:c r="P33" s="3" t="str">
        <x:v>["CC-E121","CC-E122","CC-E123","CC-E124"]</x:v>
      </x:c>
      <x:c r="Q33" s="3" t="str">
        <x:v>["CC-R144","CC-R145","CC-R146","CC-R147","CC-R148"]</x:v>
      </x:c>
      <x:c r="R33" s="3" t="n">
        <x:v>300</x:v>
      </x:c>
      <x:c r="S33" s="3" t="str">
        <x:v>CC_Workshop_Implementation_Plan.md#cc-t030--benchmark-portable-hardware-profiles</x:v>
      </x:c>
      <x:c r="T33" s="3" t="str">
        <x:v>1. Every supported profile has actual execution evidence.
2. No result is extrapolated into an untested GPU configuration.
3. A larger model is selected only when it improves measured quality within available resources.
4. Results include model, projector, runtime and configuration hashes.
5. The application remains useful for source viewing and direct approved facts when generation is unavailable.</x:v>
      </x:c>
      <x:c r="U33" s="11" t="n">
        <x:f>COUNTIF(tblSteps[Task],[@Task])</x:f>
        <x:v>4</x:v>
      </x:c>
      <x:c r="V33" s="11" t="n">
        <x:f>COUNTIFS(tblSteps[Task],[@Task],tblSteps[Status],"Done")</x:f>
        <x:v>0</x:v>
      </x:c>
      <x:c r="W33" s="11" t="n">
        <x:f>COUNTIFS(tblSteps[Task],[@Task],tblSteps[Status],"Skipped")+COUNTIFS(tblSteps[Task],[@Task],tblSteps[Status],"N/A")</x:f>
        <x:v>0</x:v>
      </x:c>
      <x:c r="X33" s="12" t="n">
        <x:f>IF([@Step total]=0,0,([@Steps done]+[@Steps waived])/[@Step total])</x:f>
        <x:v>0</x:v>
      </x:c>
      <x:c r="Y33" s="12" t="n">
        <x:f>IF([@Step total]=0,0,[@Steps done]/[@Step total])</x:f>
        <x:v>0</x:v>
      </x:c>
      <x:c r="Z33" s="7" t="str">
        <x:v>Not evaluated</x:v>
      </x:c>
      <x:c r="AA33" s="8" t="n">
        <x:v>46275.51530535879</x:v>
      </x:c>
      <x:c r="AB33" s="3" t="str">
        <x:f>IF(AND([@Status]="Done",OR([@Step total]=0,[@Closed step ratio]&lt;&gt;1,[@Gate state]&lt;&gt;"Passed")),"Review completion","")</x:f>
      </x:c>
    </x:row>
    <x:row r="34" ht="96" customHeight="1">
      <x:c r="A34" s="3" t="str">
        <x:v>CC-T031</x:v>
      </x:c>
      <x:c r="B34" s="3" t="str">
        <x:v>M7 — Release handover</x:v>
      </x:c>
      <x:c r="C34" s="3" t="str">
        <x:v>Run the release evaluation and adversarial suite</x:v>
      </x:c>
      <x:c r="D34" s="3" t="str">
        <x:v>Local development</x:v>
      </x:c>
      <x:c r="E34" s="7" t="str">
        <x:v>Not started</x:v>
      </x:c>
      <x:c r="F34" s="7" t="str"/>
      <x:c r="G34" s="3" t="str">
        <x:v>CC-T026, CC-T029</x:v>
      </x:c>
      <x:c r="H34" s="3" t="str">
        <x:v>release_evaluation: complete acceptance and review evidence</x:v>
      </x:c>
      <x:c r="I34" s="7" t="str"/>
      <x:c r="J34" s="3" t="str">
        <x:v>1. Freeze development and held-out evaluation sets separately.
2. Run isolation, applicability, numeric, citation, procedure and recovery tests.
3. Exercise prompt injection in imported documents and metadata.
4. Review representative generated outputs.
5. Record unresolved failures.</x:v>
      </x:c>
      <x:c r="K34" s="7" t="str"/>
      <x:c r="L34" s="3" t="str">
        <x:v>Engineering</x:v>
      </x:c>
      <x:c r="M34" s="3" t="str">
        <x:v>Initial</x:v>
      </x:c>
      <x:c r="N34" s="3" t="str">
        <x:v>["CC-T026","CC-T029"]</x:v>
      </x:c>
      <x:c r="O34" s="3" t="str">
        <x:v>[]</x:v>
      </x:c>
      <x:c r="P34" s="3" t="str">
        <x:v>["CC-E125","CC-E126","CC-E127","CC-E128"]</x:v>
      </x:c>
      <x:c r="Q34" s="3" t="str">
        <x:v>["CC-R149","CC-R150","CC-R151","CC-R152","CC-R153"]</x:v>
      </x:c>
      <x:c r="R34" s="3" t="n">
        <x:v>310</x:v>
      </x:c>
      <x:c r="S34" s="3" t="str">
        <x:v>CC_Workshop_Implementation_Plan.md#cc-t031--run-the-release-evaluation-and-adversarial-suite</x:v>
      </x:c>
      <x:c r="T34" s="3" t="str">
        <x:v>1. All critical acceptance scenarios in Section 6 pass.
2. No observed cross-Garage disclosure occurs.
3. No definitive unsupported critical specification occurs in the release test set.
4. No unresolved critical failure is hidden by aggregate averages.
5. Passing results are described as test evidence, not a guarantee of mechanical correctness.</x:v>
      </x:c>
      <x:c r="U34" s="11" t="n">
        <x:f>COUNTIF(tblSteps[Task],[@Task])</x:f>
        <x:v>4</x:v>
      </x:c>
      <x:c r="V34" s="11" t="n">
        <x:f>COUNTIFS(tblSteps[Task],[@Task],tblSteps[Status],"Done")</x:f>
        <x:v>0</x:v>
      </x:c>
      <x:c r="W34" s="11" t="n">
        <x:f>COUNTIFS(tblSteps[Task],[@Task],tblSteps[Status],"Skipped")+COUNTIFS(tblSteps[Task],[@Task],tblSteps[Status],"N/A")</x:f>
        <x:v>0</x:v>
      </x:c>
      <x:c r="X34" s="12" t="n">
        <x:f>IF([@Step total]=0,0,([@Steps done]+[@Steps waived])/[@Step total])</x:f>
        <x:v>0</x:v>
      </x:c>
      <x:c r="Y34" s="12" t="n">
        <x:f>IF([@Step total]=0,0,[@Steps done]/[@Step total])</x:f>
        <x:v>0</x:v>
      </x:c>
      <x:c r="Z34" s="7" t="str">
        <x:v>Not evaluated</x:v>
      </x:c>
      <x:c r="AA34" s="8" t="n">
        <x:v>46275.51530535879</x:v>
      </x:c>
      <x:c r="AB34" s="3" t="str">
        <x:f>IF(AND([@Status]="Done",OR([@Step total]=0,[@Closed step ratio]&lt;&gt;1,[@Gate state]&lt;&gt;"Passed")),"Review completion","")</x:f>
      </x:c>
    </x:row>
    <x:row r="35" ht="108" customHeight="1">
      <x:c r="A35" s="3" t="str">
        <x:v>CC-T032</x:v>
      </x:c>
      <x:c r="B35" s="3" t="str">
        <x:v>M7 — Release handover</x:v>
      </x:c>
      <x:c r="C35" s="3" t="str">
        <x:v>Complete release evidence and handover</x:v>
      </x:c>
      <x:c r="D35" s="3" t="str">
        <x:v>Local development</x:v>
      </x:c>
      <x:c r="E35" s="7" t="str">
        <x:v>Not started</x:v>
      </x:c>
      <x:c r="F35" s="7" t="str"/>
      <x:c r="G35" s="3" t="str">
        <x:v>CC-T030, CC-T031</x:v>
      </x:c>
      <x:c r="H35" s="3" t="str">
        <x:v>release_handover: complete acceptance and review evidence</x:v>
      </x:c>
      <x:c r="I35" s="7" t="str"/>
      <x:c r="J35" s="3" t="str">
        <x:v>1. Produce versioned application, installer and model manifests.
2. Record supported environments and known limitations.
3. Reconcile all initial-release tasks and evidence.
4. Update the workbook and JSON snapshot.
5. Write installation, recovery, source-review and continuation instructions.</x:v>
      </x:c>
      <x:c r="K35" s="7" t="str"/>
      <x:c r="L35" s="3" t="str">
        <x:v>Engineering</x:v>
      </x:c>
      <x:c r="M35" s="3" t="str">
        <x:v>Initial</x:v>
      </x:c>
      <x:c r="N35" s="3" t="str">
        <x:v>["CC-T030","CC-T031"]</x:v>
      </x:c>
      <x:c r="O35" s="3" t="str">
        <x:v>[]</x:v>
      </x:c>
      <x:c r="P35" s="3" t="str">
        <x:v>["CC-E129","CC-E130","CC-E131","CC-E132"]</x:v>
      </x:c>
      <x:c r="Q35" s="3" t="str">
        <x:v>["CC-R154","CC-R155","CC-R156","CC-R157","CC-R158"]</x:v>
      </x:c>
      <x:c r="R35" s="3" t="n">
        <x:v>320</x:v>
      </x:c>
      <x:c r="S35" s="3" t="str">
        <x:v>CC_Workshop_Implementation_Plan.md#cc-t032--complete-release-evidence-and-handover</x:v>
      </x:c>
      <x:c r="T35" s="3" t="str">
        <x:v>1. Every completed task has matching evidence.
2. Deferred roadmap work is outside the completion denominator.
3. A new agent can identify the exact current state and next work from the tracker.
4. Release artifacts identify the source commit and dependency/runtime revisions.
5. No publication or deployment is claimed unless it actually occurred.</x:v>
      </x:c>
      <x:c r="U35" s="11" t="n">
        <x:f>COUNTIF(tblSteps[Task],[@Task])</x:f>
        <x:v>4</x:v>
      </x:c>
      <x:c r="V35" s="11" t="n">
        <x:f>COUNTIFS(tblSteps[Task],[@Task],tblSteps[Status],"Done")</x:f>
        <x:v>0</x:v>
      </x:c>
      <x:c r="W35" s="11" t="n">
        <x:f>COUNTIFS(tblSteps[Task],[@Task],tblSteps[Status],"Skipped")+COUNTIFS(tblSteps[Task],[@Task],tblSteps[Status],"N/A")</x:f>
        <x:v>0</x:v>
      </x:c>
      <x:c r="X35" s="12" t="n">
        <x:f>IF([@Step total]=0,0,([@Steps done]+[@Steps waived])/[@Step total])</x:f>
        <x:v>0</x:v>
      </x:c>
      <x:c r="Y35" s="12" t="n">
        <x:f>IF([@Step total]=0,0,[@Steps done]/[@Step total])</x:f>
        <x:v>0</x:v>
      </x:c>
      <x:c r="Z35" s="7" t="str">
        <x:v>Not evaluated</x:v>
      </x:c>
      <x:c r="AA35" s="8" t="n">
        <x:v>46275.51530535879</x:v>
      </x:c>
      <x:c r="AB35" s="3" t="str">
        <x:f>IF(AND([@Status]="Done",OR([@Step total]=0,[@Closed step ratio]&lt;&gt;1,[@Gate state]&lt;&gt;"Passed")),"Review completion","")</x:f>
      </x:c>
    </x:row>
    <x:row r="36" ht="72" customHeight="1">
      <x:c r="A36" s="3" t="str">
        <x:v>CC-T033</x:v>
      </x:c>
      <x:c r="B36" s="3" t="str">
        <x:v>Future — Deferred</x:v>
      </x:c>
      <x:c r="C36" s="3" t="str">
        <x:v>Timestamped video ingestion</x:v>
      </x:c>
      <x:c r="D36" s="3" t="str">
        <x:v>Local development</x:v>
      </x:c>
      <x:c r="E36" s="7" t="str">
        <x:v>Not started</x:v>
      </x:c>
      <x:c r="F36" s="7" t="str"/>
      <x:c r="G36" s="3" t="str">
        <x:v>CC-T032, CC-D011</x:v>
      </x:c>
      <x:c r="H36" s="3" t="str">
        <x:v>Future activation: complete acceptance and review evidence</x:v>
      </x:c>
      <x:c r="I36" s="7" t="str"/>
      <x:c r="J36" s="3" t="str">
        <x:v>1. Activate only when: Initial release accepted; local transcript/frame provenance contract reviewed
2. Timestamped video ingestion
Input gate: Initial release accepted; local transcript/frame provenance contract reviewed</x:v>
      </x:c>
      <x:c r="K36" s="7" t="str"/>
      <x:c r="L36" s="3" t="str">
        <x:v>Engineering</x:v>
      </x:c>
      <x:c r="M36" s="3" t="str">
        <x:v>Future</x:v>
      </x:c>
      <x:c r="N36" s="3" t="str">
        <x:v>["CC-T032"]</x:v>
      </x:c>
      <x:c r="O36" s="3" t="str">
        <x:v>["CC-D011"]</x:v>
      </x:c>
      <x:c r="P36" s="3" t="str">
        <x:v>["CC-E133","CC-E134","CC-E135","CC-E136"]</x:v>
      </x:c>
      <x:c r="Q36" s="3" t="str">
        <x:v>["CC-R159"]</x:v>
      </x:c>
      <x:c r="R36" s="3" t="n">
        <x:v>330</x:v>
      </x:c>
      <x:c r="S36" s="3" t="str">
        <x:v>CC_Workshop_Implementation_Plan.md#52-future-work-rows</x:v>
      </x:c>
      <x:c r="T36" s="3" t="str">
        <x:v>1. Correct timestamp citations, local transcription, preserved source identity and scoped retrieval</x:v>
      </x:c>
      <x:c r="U36" s="11" t="n">
        <x:f>COUNTIF(tblSteps[Task],[@Task])</x:f>
        <x:v>4</x:v>
      </x:c>
      <x:c r="V36" s="11" t="n">
        <x:f>COUNTIFS(tblSteps[Task],[@Task],tblSteps[Status],"Done")</x:f>
        <x:v>0</x:v>
      </x:c>
      <x:c r="W36" s="11" t="n">
        <x:f>COUNTIFS(tblSteps[Task],[@Task],tblSteps[Status],"Skipped")+COUNTIFS(tblSteps[Task],[@Task],tblSteps[Status],"N/A")</x:f>
        <x:v>0</x:v>
      </x:c>
      <x:c r="X36" s="12" t="n">
        <x:f>IF([@Step total]=0,0,([@Steps done]+[@Steps waived])/[@Step total])</x:f>
        <x:v>0</x:v>
      </x:c>
      <x:c r="Y36" s="12" t="n">
        <x:f>IF([@Step total]=0,0,[@Steps done]/[@Step total])</x:f>
        <x:v>0</x:v>
      </x:c>
      <x:c r="Z36" s="7" t="str">
        <x:v>Not evaluated</x:v>
      </x:c>
      <x:c r="AA36" s="8" t="n">
        <x:v>46275.51530535879</x:v>
      </x:c>
      <x:c r="AB36" s="3" t="str">
        <x:f>IF(AND([@Status]="Done",OR([@Step total]=0,[@Closed step ratio]&lt;&gt;1,[@Gate state]&lt;&gt;"Passed")),"Review completion","")</x:f>
      </x:c>
    </x:row>
    <x:row r="37" ht="60" customHeight="1">
      <x:c r="A37" s="3" t="str">
        <x:v>CC-T034</x:v>
      </x:c>
      <x:c r="B37" s="3" t="str">
        <x:v>Future — Deferred</x:v>
      </x:c>
      <x:c r="C37" s="3" t="str">
        <x:v>Read-only OBD/CAN adapter</x:v>
      </x:c>
      <x:c r="D37" s="3" t="str">
        <x:v>Local development</x:v>
      </x:c>
      <x:c r="E37" s="7" t="str">
        <x:v>Not started</x:v>
      </x:c>
      <x:c r="F37" s="7" t="str"/>
      <x:c r="G37" s="3" t="str">
        <x:v>CC-D012</x:v>
      </x:c>
      <x:c r="H37" s="3" t="str">
        <x:v>Future activation: complete acceptance and review evidence</x:v>
      </x:c>
      <x:c r="I37" s="7" t="str"/>
      <x:c r="J37" s="3" t="str">
        <x:v>1. Activate only when: Supported hardware/protocol selected; adapter reviewed
2. Read-only OBD/CAN adapter
Input gate: Supported hardware/protocol selected; adapter reviewed</x:v>
      </x:c>
      <x:c r="K37" s="7" t="str"/>
      <x:c r="L37" s="3" t="str">
        <x:v>Engineering</x:v>
      </x:c>
      <x:c r="M37" s="3" t="str">
        <x:v>Future</x:v>
      </x:c>
      <x:c r="N37" s="3" t="str">
        <x:v>[]</x:v>
      </x:c>
      <x:c r="O37" s="3" t="str">
        <x:v>["CC-D012"]</x:v>
      </x:c>
      <x:c r="P37" s="3" t="str">
        <x:v>["CC-E137","CC-E138","CC-E139","CC-E140"]</x:v>
      </x:c>
      <x:c r="Q37" s="3" t="str">
        <x:v>["CC-R160"]</x:v>
      </x:c>
      <x:c r="R37" s="3" t="n">
        <x:v>340</x:v>
      </x:c>
      <x:c r="S37" s="3" t="str">
        <x:v>CC_Workshop_Implementation_Plan.md#52-future-work-rows</x:v>
      </x:c>
      <x:c r="T37" s="3" t="str">
        <x:v>1. Explicit allowed reads, recorded decoder identity, replay tests and no vehicle-write commands</x:v>
      </x:c>
      <x:c r="U37" s="11" t="n">
        <x:f>COUNTIF(tblSteps[Task],[@Task])</x:f>
        <x:v>4</x:v>
      </x:c>
      <x:c r="V37" s="11" t="n">
        <x:f>COUNTIFS(tblSteps[Task],[@Task],tblSteps[Status],"Done")</x:f>
        <x:v>0</x:v>
      </x:c>
      <x:c r="W37" s="11" t="n">
        <x:f>COUNTIFS(tblSteps[Task],[@Task],tblSteps[Status],"Skipped")+COUNTIFS(tblSteps[Task],[@Task],tblSteps[Status],"N/A")</x:f>
        <x:v>0</x:v>
      </x:c>
      <x:c r="X37" s="12" t="n">
        <x:f>IF([@Step total]=0,0,([@Steps done]+[@Steps waived])/[@Step total])</x:f>
        <x:v>0</x:v>
      </x:c>
      <x:c r="Y37" s="12" t="n">
        <x:f>IF([@Step total]=0,0,[@Steps done]/[@Step total])</x:f>
        <x:v>0</x:v>
      </x:c>
      <x:c r="Z37" s="7" t="str">
        <x:v>Not evaluated</x:v>
      </x:c>
      <x:c r="AA37" s="8" t="n">
        <x:v>46275.51530535879</x:v>
      </x:c>
      <x:c r="AB37" s="3" t="str">
        <x:f>IF(AND([@Status]="Done",OR([@Step total]=0,[@Closed step ratio]&lt;&gt;1,[@Gate state]&lt;&gt;"Passed")),"Review completion","")</x:f>
      </x:c>
    </x:row>
    <x:row r="38" ht="72" customHeight="1">
      <x:c r="A38" s="3" t="str">
        <x:v>CC-T035</x:v>
      </x:c>
      <x:c r="B38" s="3" t="str">
        <x:v>Future — Deferred</x:v>
      </x:c>
      <x:c r="C38" s="3" t="str">
        <x:v>Experimental generative redrawing</x:v>
      </x:c>
      <x:c r="D38" s="3" t="str">
        <x:v>Local development</x:v>
      </x:c>
      <x:c r="E38" s="7" t="str">
        <x:v>Not started</x:v>
      </x:c>
      <x:c r="F38" s="7" t="str"/>
      <x:c r="G38" s="3" t="str">
        <x:v>CC-T020, CC-D013</x:v>
      </x:c>
      <x:c r="H38" s="3" t="str">
        <x:v>Future activation: complete acceptance and review evidence</x:v>
      </x:c>
      <x:c r="I38" s="7" t="str"/>
      <x:c r="J38" s="3" t="str">
        <x:v>1. Activate only when: Deterministic guide system accepted; separate provider policy established
2. Experimental generative redrawing
Input gate: Deterministic guide system accepted; separate provider policy established</x:v>
      </x:c>
      <x:c r="K38" s="7" t="str"/>
      <x:c r="L38" s="3" t="str">
        <x:v>Engineering</x:v>
      </x:c>
      <x:c r="M38" s="3" t="str">
        <x:v>Future</x:v>
      </x:c>
      <x:c r="N38" s="3" t="str">
        <x:v>["CC-T020"]</x:v>
      </x:c>
      <x:c r="O38" s="3" t="str">
        <x:v>["CC-D013"]</x:v>
      </x:c>
      <x:c r="P38" s="3" t="str">
        <x:v>["CC-E141","CC-E142","CC-E143","CC-E144"]</x:v>
      </x:c>
      <x:c r="Q38" s="3" t="str">
        <x:v>["CC-R161"]</x:v>
      </x:c>
      <x:c r="R38" s="3" t="n">
        <x:v>350</x:v>
      </x:c>
      <x:c r="S38" s="3" t="str">
        <x:v>CC_Workshop_Implementation_Plan.md#52-future-work-rows</x:v>
      </x:c>
      <x:c r="T38" s="3" t="str">
        <x:v>1. Draft labels, original references, review state and exclusion from authoritative retrieval</x:v>
      </x:c>
      <x:c r="U38" s="11" t="n">
        <x:f>COUNTIF(tblSteps[Task],[@Task])</x:f>
        <x:v>4</x:v>
      </x:c>
      <x:c r="V38" s="11" t="n">
        <x:f>COUNTIFS(tblSteps[Task],[@Task],tblSteps[Status],"Done")</x:f>
        <x:v>0</x:v>
      </x:c>
      <x:c r="W38" s="11" t="n">
        <x:f>COUNTIFS(tblSteps[Task],[@Task],tblSteps[Status],"Skipped")+COUNTIFS(tblSteps[Task],[@Task],tblSteps[Status],"N/A")</x:f>
        <x:v>0</x:v>
      </x:c>
      <x:c r="X38" s="12" t="n">
        <x:f>IF([@Step total]=0,0,([@Steps done]+[@Steps waived])/[@Step total])</x:f>
        <x:v>0</x:v>
      </x:c>
      <x:c r="Y38" s="12" t="n">
        <x:f>IF([@Step total]=0,0,[@Steps done]/[@Step total])</x:f>
        <x:v>0</x:v>
      </x:c>
      <x:c r="Z38" s="7" t="str">
        <x:v>Not evaluated</x:v>
      </x:c>
      <x:c r="AA38" s="8" t="n">
        <x:v>46275.51530535879</x:v>
      </x:c>
      <x:c r="AB38" s="3" t="str">
        <x:f>IF(AND([@Status]="Done",OR([@Step total]=0,[@Closed step ratio]&lt;&gt;1,[@Gate state]&lt;&gt;"Passed")),"Review completion","")</x:f>
      </x:c>
    </x:row>
  </x:sheetData>
  <x:conditionalFormatting sqref="E3:E38">
    <x:cfRule type="containsText" dxfId="0" priority="1" operator="containsText" text="Blocked"/>
    <x:cfRule type="containsText" dxfId="1" priority="2" operator="containsText" text="In progress"/>
    <x:cfRule type="containsText" dxfId="2" priority="3" operator="containsText" text="Done"/>
  </x:conditionalFormatting>
  <x:dataValidations count="4">
    <x:dataValidation type="list" sqref="E3:E38">
      <x:formula1>"Not started,In progress,Blocked,Done,Skipped,N/A"</x:formula1>
    </x:dataValidation>
    <x:dataValidation type="list" sqref="L3:L38">
      <x:formula1>"Planning,Research,Engineering"</x:formula1>
    </x:dataValidation>
    <x:dataValidation type="list" sqref="M3:M38">
      <x:formula1>"Initial,Future"</x:formula1>
    </x:dataValidation>
    <x:dataValidation type="list" sqref="Z3:Z38">
      <x:formula1>"Not evaluated,Passed,Failed"</x:formula1>
    </x:dataValidation>
  </x:dataValidations>
  <x:pageMargins left="0.7" right="0.7" top="0.75" bottom="0.75" header="0.3" footer="0.3"/>
  <x:tableParts count="1">
    <x:tablePart xmlns:r="http://schemas.openxmlformats.org/officeDocument/2006/relationships" r:id="R4fa16eec640643b6"/>
  </x:tableParts>
</x:worksheet>
</file>

<file path=xl/worksheets/sheet4.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23" hidden="0" customWidth="1"/>
    <x:col min="2" max="2" width="18" hidden="0" customWidth="1"/>
    <x:col min="3" max="3" width="9" hidden="0" customWidth="1"/>
    <x:col min="4" max="4" width="80" hidden="0" customWidth="1"/>
    <x:col min="5" max="5" width="16" hidden="0" customWidth="1"/>
    <x:col min="6" max="6" width="18" hidden="0" customWidth="1"/>
    <x:col min="7" max="7" width="80" hidden="0" customWidth="1"/>
    <x:col min="8" max="8" width="34" hidden="0" customWidth="1"/>
    <x:col min="9" max="9" width="62" hidden="0" customWidth="1"/>
    <x:col min="10" max="10" width="17" hidden="0" customWidth="1"/>
    <x:col min="11" max="11" width="13" hidden="0" customWidth="1"/>
    <x:col min="12" max="12" width="36" hidden="0" customWidth="1"/>
    <x:col min="13" max="13" width="30" hidden="0" customWidth="1"/>
    <x:col min="14" max="14" width="34" hidden="0" customWidth="1"/>
    <x:col min="15" max="15" width="80" hidden="0" customWidth="1"/>
    <x:col min="16" max="16" width="64" hidden="0" customWidth="1"/>
    <x:col min="17" max="17" width="58" hidden="0" customWidth="1"/>
    <x:col min="18" max="18" width="23" hidden="0" customWidth="1"/>
    <x:col min="19" max="19" width="23" hidden="0" customWidth="1"/>
    <x:col min="20" max="20" width="23" hidden="0" customWidth="1"/>
    <x:col min="21" max="21" width="28" hidden="0" customWidth="1"/>
    <x:col min="22" max="22" width="72" hidden="0" customWidth="1"/>
    <x:col min="23" max="23" width="30" hidden="0" customWidth="1"/>
    <x:col min="24" max="24" width="24" hidden="0" customWidth="1"/>
  </x:cols>
  <x:sheetData>
    <x:row r="1" ht="34" customHeight="1">
      <x:c r="A1" s="6" t="str">
        <x:v>Step ID</x:v>
      </x:c>
      <x:c r="B1" s="6" t="str">
        <x:v>Task</x:v>
      </x:c>
      <x:c r="C1" s="6" t="str">
        <x:v>Step</x:v>
      </x:c>
      <x:c r="D1" s="6" t="str">
        <x:v>Description</x:v>
      </x:c>
      <x:c r="E1" s="6" t="str">
        <x:v>Status</x:v>
      </x:c>
      <x:c r="F1" s="6" t="str">
        <x:v>Owner</x:v>
      </x:c>
      <x:c r="G1" s="6" t="str">
        <x:v>Command / expected</x:v>
      </x:c>
      <x:c r="H1" s="6" t="str">
        <x:v>Where</x:v>
      </x:c>
      <x:c r="I1" s="6" t="str">
        <x:v>Notes</x:v>
      </x:c>
      <x:c r="J1" s="6" t="str">
        <x:v>Work class</x:v>
      </x:c>
      <x:c r="K1" s="6" t="str">
        <x:v>Release</x:v>
      </x:c>
      <x:c r="L1" s="6" t="str">
        <x:v>Required step IDs</x:v>
      </x:c>
      <x:c r="M1" s="6" t="str">
        <x:v>Required decision IDs</x:v>
      </x:c>
      <x:c r="N1" s="6" t="str">
        <x:v>Required evidence IDs</x:v>
      </x:c>
      <x:c r="O1" s="6" t="str">
        <x:v>Acceptance criteria</x:v>
      </x:c>
      <x:c r="P1" s="6" t="str">
        <x:v>Outputs</x:v>
      </x:c>
      <x:c r="Q1" s="6" t="str">
        <x:v>Plan anchor</x:v>
      </x:c>
      <x:c r="R1" s="6" t="str">
        <x:v>Updated at</x:v>
      </x:c>
      <x:c r="S1" s="6" t="str">
        <x:v>Execution started at</x:v>
      </x:c>
      <x:c r="T1" s="6" t="str">
        <x:v>Execution finished at</x:v>
      </x:c>
      <x:c r="U1" s="6" t="str">
        <x:v>Executor session ID</x:v>
      </x:c>
      <x:c r="V1" s="6" t="str">
        <x:v>Observed result</x:v>
      </x:c>
      <x:c r="W1" s="6" t="str">
        <x:v>Run ID</x:v>
      </x:c>
      <x:c r="X1" s="6" t="str">
        <x:v>Commit SHA</x:v>
      </x:c>
    </x:row>
    <x:row r="2" ht="120" customHeight="1">
      <x:c r="A2" s="3" t="str">
        <x:v>CC-T000-S01</x:v>
      </x:c>
      <x:c r="B2" s="3" t="str">
        <x:v>CC-T000</x:v>
      </x:c>
      <x:c r="C2" s="3" t="n">
        <x:v>1</x:v>
      </x:c>
      <x:c r="D2" s="3" t="str">
        <x:v>Preserve and hash the three input files.</x:v>
      </x:c>
      <x:c r="E2" s="7" t="str">
        <x:v>Done</x:v>
      </x:c>
      <x:c r="F2" s="7" t="str">
        <x:v>Coordinator</x:v>
      </x:c>
      <x:c r="G2" s="3" t="str">
        <x:v>Preserve and hash the three input files.
Task acceptance:
Original workbook unchanged.
No legacy completion claims or approvals.
All IDs unique and dependency references valid.
Initial engineering progress is zero.
Research evidence is recorded separately.
Every sheet is visually readable.
The JSON export represents the same snapshot as Excel.</x:v>
      </x:c>
      <x:c r="H2" s="3" t="str">
        <x:v>Local development</x:v>
      </x:c>
      <x:c r="I2" s="7" t="str"/>
      <x:c r="J2" s="3" t="str">
        <x:v>Planning</x:v>
      </x:c>
      <x:c r="K2" s="3" t="str">
        <x:v>Initial</x:v>
      </x:c>
      <x:c r="L2" s="3" t="str">
        <x:v>[]</x:v>
      </x:c>
      <x:c r="M2" s="3" t="str">
        <x:v>[]</x:v>
      </x:c>
      <x:c r="N2" s="3" t="str">
        <x:v>["CC-E001"]</x:v>
      </x:c>
      <x:c r="O2" s="3" t="str">
        <x:v>Preserve and hash the three input files.</x:v>
      </x:c>
      <x:c r="P2" s="3" t="str">
        <x:v>["work/input-manifest.json"]</x:v>
      </x:c>
      <x:c r="Q2" s="3" t="str">
        <x:v>CC_Workshop_Implementation_Plan.md#cc-t000--establish-the-automotive-rag-tracker</x:v>
      </x:c>
      <x:c r="R2" s="8" t="n">
        <x:v>46275.5170659375</x:v>
      </x:c>
      <x:c r="S2" s="8" t="str"/>
      <x:c r="T2" s="8" t="n">
        <x:v>46275.517036006946</x:v>
      </x:c>
      <x:c r="U2" s="7" t="str"/>
      <x:c r="V2" s="7" t="str">
        <x:v>Three original files and preserved copies match the recorded SHA-256 digests; originals in Downloads remain unchanged.</x:v>
      </x:c>
      <x:c r="W2" s="7" t="str">
        <x:v>CC-RUN-foundation-20260910-001</x:v>
      </x:c>
      <x:c r="X2" s="7" t="str"/>
    </x:row>
    <x:row r="3" ht="120" customHeight="1">
      <x:c r="A3" s="3" t="str">
        <x:v>CC-T000-S02</x:v>
      </x:c>
      <x:c r="B3" s="3" t="str">
        <x:v>CC-T000</x:v>
      </x:c>
      <x:c r="C3" s="3" t="n">
        <x:v>2</x:v>
      </x:c>
      <x:c r="D3" s="3" t="str">
        <x:v>Create the six-tab tracker with the schemas and formulas above.</x:v>
      </x:c>
      <x:c r="E3" s="7" t="str">
        <x:v>Done</x:v>
      </x:c>
      <x:c r="F3" s="7" t="str">
        <x:v>Coordinator</x:v>
      </x:c>
      <x:c r="G3" s="3" t="str">
        <x:v>Create the six-tab tracker with the schemas and formulas above.
Task acceptance:
Original workbook unchanged.
No legacy completion claims or approvals.
All IDs unique and dependency references valid.
Initial engineering progress is zero.
Research evidence is recorded separately.
Every sheet is visually readable.
The JSON export represents the same snapshot as Excel.</x:v>
      </x:c>
      <x:c r="H3" s="3" t="str">
        <x:v>Local development</x:v>
      </x:c>
      <x:c r="I3" s="7" t="str"/>
      <x:c r="J3" s="3" t="str">
        <x:v>Planning</x:v>
      </x:c>
      <x:c r="K3" s="3" t="str">
        <x:v>Initial</x:v>
      </x:c>
      <x:c r="L3" s="3" t="str">
        <x:v>["CC-T000-S01"]</x:v>
      </x:c>
      <x:c r="M3" s="3" t="str">
        <x:v>[]</x:v>
      </x:c>
      <x:c r="N3" s="3" t="str">
        <x:v>["CC-E149"]</x:v>
      </x:c>
      <x:c r="O3" s="3" t="str">
        <x:v>Create the six-tab tracker with the schemas and formulas above.</x:v>
      </x:c>
      <x:c r="P3" s="3" t="str">
        <x:v>["outputs/CC_Workshop_Planning_Tracker.xlsx"]</x:v>
      </x:c>
      <x:c r="Q3" s="3" t="str">
        <x:v>CC_Workshop_Implementation_Plan.md#cc-t000--establish-the-automotive-rag-tracker</x:v>
      </x:c>
      <x:c r="R3" s="8" t="n">
        <x:v>46275.52359466435</x:v>
      </x:c>
      <x:c r="S3" s="8" t="str"/>
      <x:c r="T3" s="8" t="n">
        <x:v>46275.517036006946</x:v>
      </x:c>
      <x:c r="U3" s="7" t="str"/>
      <x:c r="V3" s="7" t="str">
        <x:v>Saved tracker schema, tables, statuses and progress formulas verified; immutable checkpoint replaces a mutable builder-file capture.</x:v>
      </x:c>
      <x:c r="W3" s="7" t="str">
        <x:v>CC-RUN-foundation-20260910-001</x:v>
      </x:c>
      <x:c r="X3" s="7" t="str"/>
    </x:row>
    <x:row r="4" ht="132" customHeight="1">
      <x:c r="A4" s="3" t="str">
        <x:v>CC-T000-S03</x:v>
      </x:c>
      <x:c r="B4" s="3" t="str">
        <x:v>CC-T000</x:v>
      </x:c>
      <x:c r="C4" s="3" t="n">
        <x:v>3</x:v>
      </x:c>
      <x:c r="D4" s="3" t="str">
        <x:v>Populate this plan’s tasks, steps, decisions, requirements and evidence requirements.</x:v>
      </x:c>
      <x:c r="E4" s="7" t="str">
        <x:v>Done</x:v>
      </x:c>
      <x:c r="F4" s="7" t="str">
        <x:v>Coordinator</x:v>
      </x:c>
      <x:c r="G4" s="3" t="str">
        <x:v>Populate this plan’s tasks, steps, decisions, requirements and evidence requirements.
Task acceptance:
Original workbook unchanged.
No legacy completion claims or approvals.
All IDs unique and dependency references valid.
Initial engineering progress is zero.
Research evidence is recorded separately.
Every sheet is visually readable.
The JSON export represents the same snapshot as Excel.</x:v>
      </x:c>
      <x:c r="H4" s="3" t="str">
        <x:v>Local development</x:v>
      </x:c>
      <x:c r="I4" s="7" t="str"/>
      <x:c r="J4" s="3" t="str">
        <x:v>Planning</x:v>
      </x:c>
      <x:c r="K4" s="3" t="str">
        <x:v>Initial</x:v>
      </x:c>
      <x:c r="L4" s="3" t="str">
        <x:v>["CC-T000-S02"]</x:v>
      </x:c>
      <x:c r="M4" s="3" t="str">
        <x:v>[]</x:v>
      </x:c>
      <x:c r="N4" s="3" t="str">
        <x:v>["CC-E150"]</x:v>
      </x:c>
      <x:c r="O4" s="3" t="str">
        <x:v>Populate this plan’s tasks, steps, decisions, requirements and evidence requirements.</x:v>
      </x:c>
      <x:c r="P4" s="3" t="str">
        <x:v>["outputs/CC_Workshop_Implementation_Plan.json"]</x:v>
      </x:c>
      <x:c r="Q4" s="3" t="str">
        <x:v>CC_Workshop_Implementation_Plan.md#cc-t000--establish-the-automotive-rag-tracker</x:v>
      </x:c>
      <x:c r="R4" s="8" t="n">
        <x:v>46275.52359466435</x:v>
      </x:c>
      <x:c r="S4" s="8" t="str"/>
      <x:c r="T4" s="8" t="n">
        <x:v>46275.517036006946</x:v>
      </x:c>
      <x:c r="U4" s="7" t="str"/>
      <x:c r="V4" s="7" t="str">
        <x:v>Complete plan and execution records retained in the matching JSON snapshot. All populated timestamp fields are UTC ISO strings. Counts and snapshot reconcile with Excel.</x:v>
      </x:c>
      <x:c r="W4" s="7" t="str">
        <x:v>CC-RUN-foundation-20260910-001</x:v>
      </x:c>
      <x:c r="X4" s="7" t="str"/>
    </x:row>
    <x:row r="5" ht="120" customHeight="1">
      <x:c r="A5" s="3" t="str">
        <x:v>CC-T000-S04</x:v>
      </x:c>
      <x:c r="B5" s="3" t="str">
        <x:v>CC-T000</x:v>
      </x:c>
      <x:c r="C5" s="3" t="n">
        <x:v>4</x:v>
      </x:c>
      <x:c r="D5" s="3" t="str">
        <x:v>Validate the saved workbook and generated JSON snapshot.</x:v>
      </x:c>
      <x:c r="E5" s="7" t="str">
        <x:v>Done</x:v>
      </x:c>
      <x:c r="F5" s="7" t="str">
        <x:v>Coordinator</x:v>
      </x:c>
      <x:c r="G5" s="3" t="str">
        <x:v>Validate the saved workbook and generated JSON snapshot.
Task acceptance:
Original workbook unchanged.
No legacy completion claims or approvals.
All IDs unique and dependency references valid.
Initial engineering progress is zero.
Research evidence is recorded separately.
Every sheet is visually readable.
The JSON export represents the same snapshot as Excel.</x:v>
      </x:c>
      <x:c r="H5" s="3" t="str">
        <x:v>Local development</x:v>
      </x:c>
      <x:c r="I5" s="7" t="str"/>
      <x:c r="J5" s="3" t="str">
        <x:v>Planning</x:v>
      </x:c>
      <x:c r="K5" s="3" t="str">
        <x:v>Initial</x:v>
      </x:c>
      <x:c r="L5" s="3" t="str">
        <x:v>["CC-T000-S03"]</x:v>
      </x:c>
      <x:c r="M5" s="3" t="str">
        <x:v>[]</x:v>
      </x:c>
      <x:c r="N5" s="3" t="str">
        <x:v>["CC-E151"]</x:v>
      </x:c>
      <x:c r="O5" s="3" t="str">
        <x:v>Validate the saved workbook and generated JSON snapshot.</x:v>
      </x:c>
      <x:c r="P5" s="3" t="str">
        <x:v>["work/tracker-validation.json","work/previews/"]</x:v>
      </x:c>
      <x:c r="Q5" s="3" t="str">
        <x:v>CC_Workshop_Implementation_Plan.md#cc-t000--establish-the-automotive-rag-tracker</x:v>
      </x:c>
      <x:c r="R5" s="8" t="n">
        <x:v>46275.52359466435</x:v>
      </x:c>
      <x:c r="S5" s="8" t="str"/>
      <x:c r="T5" s="8" t="n">
        <x:v>46275.517036006946</x:v>
      </x:c>
      <x:c r="U5" s="7" t="str"/>
      <x:c r="V5" s="7" t="str">
        <x:v>Saved-file validation passed, all six worksheets previously reviewed, corrected README title visually checked. Original source hashes and workbook/JSON snapshot agree.</x:v>
      </x:c>
      <x:c r="W5" s="7" t="str">
        <x:v>CC-RUN-foundation-20260910-001</x:v>
      </x:c>
      <x:c r="X5" s="7" t="str"/>
    </x:row>
    <x:row r="6" ht="120" customHeight="1">
      <x:c r="A6" s="3" t="str">
        <x:v>CC-T001-S01</x:v>
      </x:c>
      <x:c r="B6" s="3" t="str">
        <x:v>CC-T001</x:v>
      </x:c>
      <x:c r="C6" s="3" t="n">
        <x:v>1</x:v>
      </x:c>
      <x:c r="D6" s="3" t="str">
        <x:v>Obtain a working checkout and record its exact revision without replacing unrelated work.</x:v>
      </x:c>
      <x:c r="E6" s="7" t="str">
        <x:v>Done</x:v>
      </x:c>
      <x:c r="F6" s="7" t="str">
        <x:v>Coordinator</x:v>
      </x:c>
      <x:c r="G6" s="3" t="str">
        <x:v>Obtain a working checkout and record its exact revision without replacing unrelated work.
Task acceptance:
Source revision and environment recorded.
Declared package versions distinguished from successfully resolved packages.
The Chroma call-signature mismatch has a reproducible regression fixture.
Existing permissive applicability tests are identified.
No supplied executable is treated as trusted merely because it exists.</x:v>
      </x:c>
      <x:c r="H6" s="3" t="str">
        <x:v>Local development</x:v>
      </x:c>
      <x:c r="I6" s="7" t="str"/>
      <x:c r="J6" s="3" t="str">
        <x:v>Research</x:v>
      </x:c>
      <x:c r="K6" s="3" t="str">
        <x:v>Initial</x:v>
      </x:c>
      <x:c r="L6" s="3" t="str">
        <x:v>[]</x:v>
      </x:c>
      <x:c r="M6" s="3" t="str">
        <x:v>[]</x:v>
      </x:c>
      <x:c r="N6" s="3" t="str">
        <x:v>["CC-E005"]</x:v>
      </x:c>
      <x:c r="O6" s="3" t="str">
        <x:v>Obtain a working checkout and record its exact revision without replacing unrelated work.</x:v>
      </x:c>
      <x:c r="P6" s="3" t="str">
        <x:v>["tests/acceptance/test_baseline.py"]</x:v>
      </x:c>
      <x:c r="Q6" s="3" t="str">
        <x:v>CC_Workshop_Implementation_Plan.md#cc-t001--reproduce-and-document-the-repository-baseline</x:v>
      </x:c>
      <x:c r="R6" s="8" t="n">
        <x:v>46275.5170659375</x:v>
      </x:c>
      <x:c r="S6" s="8" t="str"/>
      <x:c r="T6" s="8" t="n">
        <x:v>46275.517036006946</x:v>
      </x:c>
      <x:c r="U6" s="7" t="str"/>
      <x:c r="V6" s="7" t="str">
        <x:v>Isolated checkout is at 646df53b3945e8444877480b3976ca3e8b46007b on codex/cc-workshop-offline; Python 3.12.14 development environment recorded.</x:v>
      </x:c>
      <x:c r="W6" s="7" t="str">
        <x:v>CC-RUN-foundation-20260910-001</x:v>
      </x:c>
      <x:c r="X6" s="7" t="str"/>
    </x:row>
    <x:row r="7" ht="120" customHeight="1">
      <x:c r="A7" s="3" t="str">
        <x:v>CC-T001-S02</x:v>
      </x:c>
      <x:c r="B7" s="3" t="str">
        <x:v>CC-T001</x:v>
      </x:c>
      <x:c r="C7" s="3" t="n">
        <x:v>2</x:v>
      </x:c>
      <x:c r="D7" s="3" t="str">
        <x:v>Inspect dependency declarations, entry points, existing tests and data formats.</x:v>
      </x:c>
      <x:c r="E7" s="7" t="str">
        <x:v>Done</x:v>
      </x:c>
      <x:c r="F7" s="7" t="str">
        <x:v>Coordinator</x:v>
      </x:c>
      <x:c r="G7" s="3" t="str">
        <x:v>Inspect dependency declarations, entry points, existing tests and data formats.
Task acceptance:
Source revision and environment recorded.
Declared package versions distinguished from successfully resolved packages.
The Chroma call-signature mismatch has a reproducible regression fixture.
Existing permissive applicability tests are identified.
No supplied executable is treated as trusted merely because it exists.</x:v>
      </x:c>
      <x:c r="H7" s="3" t="str">
        <x:v>Local development</x:v>
      </x:c>
      <x:c r="I7" s="7" t="str"/>
      <x:c r="J7" s="3" t="str">
        <x:v>Research</x:v>
      </x:c>
      <x:c r="K7" s="3" t="str">
        <x:v>Initial</x:v>
      </x:c>
      <x:c r="L7" s="3" t="str">
        <x:v>["CC-T001-S01"]</x:v>
      </x:c>
      <x:c r="M7" s="3" t="str">
        <x:v>[]</x:v>
      </x:c>
      <x:c r="N7" s="3" t="str">
        <x:v>["CC-E006"]</x:v>
      </x:c>
      <x:c r="O7" s="3" t="str">
        <x:v>Inspect dependency declarations, entry points, existing tests and data formats.</x:v>
      </x:c>
      <x:c r="P7" s="3" t="str">
        <x:v>[]</x:v>
      </x:c>
      <x:c r="Q7" s="3" t="str">
        <x:v>CC_Workshop_Implementation_Plan.md#cc-t001--reproduce-and-document-the-repository-baseline</x:v>
      </x:c>
      <x:c r="R7" s="8" t="n">
        <x:v>46275.5170659375</x:v>
      </x:c>
      <x:c r="S7" s="8" t="str"/>
      <x:c r="T7" s="8" t="n">
        <x:v>46275.517036006946</x:v>
      </x:c>
      <x:c r="U7" s="7" t="str"/>
      <x:c r="V7" s="7" t="str">
        <x:v>Mapped source reuse and declared versus installed dependencies, identified permissive applicability tests and unvalidated optional dependencies.</x:v>
      </x:c>
      <x:c r="W7" s="7" t="str">
        <x:v>CC-RUN-foundation-20260910-001</x:v>
      </x:c>
      <x:c r="X7" s="7" t="str"/>
    </x:row>
    <x:row r="8" ht="108" customHeight="1">
      <x:c r="A8" s="3" t="str">
        <x:v>CC-T001-S03</x:v>
      </x:c>
      <x:c r="B8" s="3" t="str">
        <x:v>CC-T001</x:v>
      </x:c>
      <x:c r="C8" s="3" t="n">
        <x:v>3</x:v>
      </x:c>
      <x:c r="D8" s="3" t="str">
        <x:v>Run available baseline checks in an isolated development environment.</x:v>
      </x:c>
      <x:c r="E8" s="7" t="str">
        <x:v>Done</x:v>
      </x:c>
      <x:c r="F8" s="7" t="str">
        <x:v>Coordinator</x:v>
      </x:c>
      <x:c r="G8" s="3" t="str">
        <x:v>Run available baseline checks in an isolated development environment.
Task acceptance:
Source revision and environment recorded.
Declared package versions distinguished from successfully resolved packages.
The Chroma call-signature mismatch has a reproducible regression fixture.
Existing permissive applicability tests are identified.
No supplied executable is treated as trusted merely because it exists.</x:v>
      </x:c>
      <x:c r="H8" s="3" t="str">
        <x:v>Local development</x:v>
      </x:c>
      <x:c r="I8" s="7" t="str"/>
      <x:c r="J8" s="3" t="str">
        <x:v>Research</x:v>
      </x:c>
      <x:c r="K8" s="3" t="str">
        <x:v>Initial</x:v>
      </x:c>
      <x:c r="L8" s="3" t="str">
        <x:v>["CC-T001-S02"]</x:v>
      </x:c>
      <x:c r="M8" s="3" t="str">
        <x:v>[]</x:v>
      </x:c>
      <x:c r="N8" s="3" t="str">
        <x:v>["CC-E007"]</x:v>
      </x:c>
      <x:c r="O8" s="3" t="str">
        <x:v>Run available baseline checks in an isolated development environment.</x:v>
      </x:c>
      <x:c r="P8" s="3" t="str">
        <x:v>["evidence/CC-T001/verification/"]</x:v>
      </x:c>
      <x:c r="Q8" s="3" t="str">
        <x:v>CC_Workshop_Implementation_Plan.md#cc-t001--reproduce-and-document-the-repository-baseline</x:v>
      </x:c>
      <x:c r="R8" s="8" t="n">
        <x:v>46275.5170659375</x:v>
      </x:c>
      <x:c r="S8" s="8" t="str"/>
      <x:c r="T8" s="8" t="n">
        <x:v>46275.517036006946</x:v>
      </x:c>
      <x:c r="U8" s="7" t="str"/>
      <x:c r="V8" s="7" t="str">
        <x:v>Existing suite: 50 passed. Specification self-test: 11/11. pip check passed. Isolated Chroma regression: one pass and one expected failure proving unsupported profile keyword.</x:v>
      </x:c>
      <x:c r="W8" s="7" t="str">
        <x:v>CC-RUN-foundation-20260910-001</x:v>
      </x:c>
      <x:c r="X8" s="7" t="str"/>
    </x:row>
    <x:row r="9" ht="108" customHeight="1">
      <x:c r="A9" s="3" t="str">
        <x:v>CC-T001-S04</x:v>
      </x:c>
      <x:c r="B9" s="3" t="str">
        <x:v>CC-T001</x:v>
      </x:c>
      <x:c r="C9" s="3" t="n">
        <x:v>4</x:v>
      </x:c>
      <x:c r="D9" s="3" t="str">
        <x:v>Produce a keep/adapt/replace matrix and capture failures.</x:v>
      </x:c>
      <x:c r="E9" s="7" t="str">
        <x:v>Done</x:v>
      </x:c>
      <x:c r="F9" s="7" t="str">
        <x:v>Coordinator</x:v>
      </x:c>
      <x:c r="G9" s="3" t="str">
        <x:v>Produce a keep/adapt/replace matrix and capture failures.
Task acceptance:
Source revision and environment recorded.
Declared package versions distinguished from successfully resolved packages.
The Chroma call-signature mismatch has a reproducible regression fixture.
Existing permissive applicability tests are identified.
No supplied executable is treated as trusted merely because it exists.</x:v>
      </x:c>
      <x:c r="H9" s="3" t="str">
        <x:v>Local development</x:v>
      </x:c>
      <x:c r="I9" s="7" t="str"/>
      <x:c r="J9" s="3" t="str">
        <x:v>Research</x:v>
      </x:c>
      <x:c r="K9" s="3" t="str">
        <x:v>Initial</x:v>
      </x:c>
      <x:c r="L9" s="3" t="str">
        <x:v>["CC-T001-S03"]</x:v>
      </x:c>
      <x:c r="M9" s="3" t="str">
        <x:v>[]</x:v>
      </x:c>
      <x:c r="N9" s="3" t="str">
        <x:v>["CC-E008"]</x:v>
      </x:c>
      <x:c r="O9" s="3" t="str">
        <x:v>Produce a keep/adapt/replace matrix and capture failures.</x:v>
      </x:c>
      <x:c r="P9" s="3" t="str">
        <x:v>["evidence/CC-T001/review/"]</x:v>
      </x:c>
      <x:c r="Q9" s="3" t="str">
        <x:v>CC_Workshop_Implementation_Plan.md#cc-t001--reproduce-and-document-the-repository-baseline</x:v>
      </x:c>
      <x:c r="R9" s="8" t="n">
        <x:v>46275.5170659375</x:v>
      </x:c>
      <x:c r="S9" s="8" t="str"/>
      <x:c r="T9" s="8" t="n">
        <x:v>46275.517036006946</x:v>
      </x:c>
      <x:c r="U9" s="7" t="str"/>
      <x:c r="V9" s="7" t="str">
        <x:v>Coordinator reviewed baseline evidence and reuse matrix against T001 acceptance. Existing tests do not prove the new application capabilities; failure and missing runtime/model assets are recorded.</x:v>
      </x:c>
      <x:c r="W9" s="7" t="str">
        <x:v>CC-RUN-foundation-20260910-001</x:v>
      </x:c>
      <x:c r="X9" s="7" t="str"/>
    </x:row>
    <x:row r="10" ht="108" customHeight="1">
      <x:c r="A10" s="3" t="str">
        <x:v>CC-T002-S01</x:v>
      </x:c>
      <x:c r="B10" s="3" t="str">
        <x:v>CC-T002</x:v>
      </x:c>
      <x:c r="C10" s="3" t="n">
        <x:v>1</x:v>
      </x:c>
      <x:c r="D10" s="3" t="str">
        <x:v>Establish regression and acceptance fixtures for establish runtime contracts and repair baseline defects.
1. Supported query backends return a valid response or structured unavailable state.
2. Fresh startup succeeds without a pre-existing logs directory.
3. No cloud embedding branch activates in the selected runtime.
4. Required desktop operation does not install optional video transcription dependencies.</x:v>
      </x:c>
      <x:c r="E10" s="7" t="str">
        <x:v>Done</x:v>
      </x:c>
      <x:c r="F10" s="7" t="str">
        <x:v>Coordinator</x:v>
      </x:c>
      <x:c r="G10" s="3" t="str">
        <x:v>python -m pytest -q tests/acceptance/test_runtime_contracts.py
Confirm the relevant missing or incorrect behavior for the task's acceptance criteria; record the actual failing behavior and command result.</x:v>
      </x:c>
      <x:c r="H10" s="3" t="str">
        <x:v>Local development</x:v>
      </x:c>
      <x:c r="I10" s="7" t="str"/>
      <x:c r="J10" s="3" t="str">
        <x:v>Engineering</x:v>
      </x:c>
      <x:c r="K10" s="3" t="str">
        <x:v>Initial</x:v>
      </x:c>
      <x:c r="L10" s="3" t="str">
        <x:v>[]</x:v>
      </x:c>
      <x:c r="M10" s="3" t="str">
        <x:v>[]</x:v>
      </x:c>
      <x:c r="N10" s="3" t="str">
        <x:v>["CC-E009"]</x:v>
      </x:c>
      <x:c r="O10" s="3" t="str">
        <x:v>Fixtures cover these expected behaviors and demonstrate the relevant baseline gap:
Supported query backends return a valid response or structured unavailable state.
Fresh startup succeeds without a pre-existing logs directory.
No cloud embedding branch activates in the selected runtime.
Required desktop operation does not install optional video transcription dependencies.</x:v>
      </x:c>
      <x:c r="P10" s="3" t="str">
        <x:v>["tests/acceptance/test_runtime_contracts.py"]</x:v>
      </x:c>
      <x:c r="Q10" s="3" t="str">
        <x:v>CC_Workshop_Implementation_Plan.md#cc-t002--establish-runtime-contracts-and-repair-baseline-defects</x:v>
      </x:c>
      <x:c r="R10" s="8" t="n">
        <x:v>46275.534289814816</x:v>
      </x:c>
      <x:c r="S10" s="8" t="str"/>
      <x:c r="T10" s="8" t="n">
        <x:v>46275.53426082176</x:v>
      </x:c>
      <x:c r="U10" s="7" t="str"/>
      <x:c r="V10" s="7" t="str">
        <x:v>Task-specific missing contract, retrieval signature and dependency behavior reproduced before implementation.</x:v>
      </x:c>
      <x:c r="W10" s="7" t="str">
        <x:v>CC-RUN-T002-coordinator-final</x:v>
      </x:c>
      <x:c r="X10" s="7" t="str">
        <x:v>88934b493a27e67e77052fd064757278523b40be</x:v>
      </x:c>
    </x:row>
    <x:row r="11" ht="108" customHeight="1">
      <x:c r="A11" s="3" t="str">
        <x:v>CC-T002-S02</x:v>
      </x:c>
      <x:c r="B11" s="3" t="str">
        <x:v>CC-T002</x:v>
      </x:c>
      <x:c r="C11" s="3" t="n">
        <x:v>2</x:v>
      </x:c>
      <x:c r="D11" s="3" t="str">
        <x:v>Implement establish runtime contracts and repair baseline defects.
1. Introduce the application package and shared request/result contracts.
2. Repair the retrieval method mismatch.
3. Move logs and writable state outside application installation paths.
4. Make server binding explicitly loopback by default.
5. Split required runtime, optional ingestion, development and packaging dependencies.
6. Establish reproducible dependency locks after successful resolution.</x:v>
      </x:c>
      <x:c r="E11" s="7" t="str">
        <x:v>Done</x:v>
      </x:c>
      <x:c r="F11" s="7" t="str">
        <x:v>Coordinator</x:v>
      </x:c>
      <x:c r="G11" s="3" t="str">
        <x:v>Implementation covers the task-specific behavior; no claim of verification is made until S03.</x:v>
      </x:c>
      <x:c r="H11" s="3" t="str">
        <x:v>Local development</x:v>
      </x:c>
      <x:c r="I11" s="7" t="str"/>
      <x:c r="J11" s="3" t="str">
        <x:v>Engineering</x:v>
      </x:c>
      <x:c r="K11" s="3" t="str">
        <x:v>Initial</x:v>
      </x:c>
      <x:c r="L11" s="3" t="str">
        <x:v>["CC-T002-S01"]</x:v>
      </x:c>
      <x:c r="M11" s="3" t="str">
        <x:v>[]</x:v>
      </x:c>
      <x:c r="N11" s="3" t="str">
        <x:v>["CC-E010"]</x:v>
      </x:c>
      <x:c r="O11" s="3" t="str">
        <x:v>Introduce the application package and shared request/result contracts.
Repair the retrieval method mismatch.
Move logs and writable state outside application installation paths.
Make server binding explicitly loopback by default.
Split required runtime, optional ingestion, development and packaging dependencies.
Establish reproducible dependency locks after successful resolution.</x:v>
      </x:c>
      <x:c r="P11" s="3" t="str">
        <x:v>[]</x:v>
      </x:c>
      <x:c r="Q11" s="3" t="str">
        <x:v>CC_Workshop_Implementation_Plan.md#cc-t002--establish-runtime-contracts-and-repair-baseline-defects</x:v>
      </x:c>
      <x:c r="R11" s="8" t="n">
        <x:v>46275.534289814816</x:v>
      </x:c>
      <x:c r="S11" s="8" t="str"/>
      <x:c r="T11" s="8" t="n">
        <x:v>46275.53426082176</x:v>
      </x:c>
      <x:c r="U11" s="7" t="str"/>
      <x:c r="V11" s="7" t="str">
        <x:v>Implemented immutable context, consistent writable data paths, loopback defaults, cloud embedding rejection, local-only legacy model loading, structured backend errors and dependency split. Source committed locally.</x:v>
      </x:c>
      <x:c r="W11" s="7" t="str">
        <x:v>CC-RUN-T002-coordinator-final</x:v>
      </x:c>
      <x:c r="X11" s="7" t="str">
        <x:v>88934b493a27e67e77052fd064757278523b40be</x:v>
      </x:c>
    </x:row>
    <x:row r="12" ht="108" customHeight="1">
      <x:c r="A12" s="3" t="str">
        <x:v>CC-T002-S03</x:v>
      </x:c>
      <x:c r="B12" s="3" t="str">
        <x:v>CC-T002</x:v>
      </x:c>
      <x:c r="C12" s="3" t="n">
        <x:v>3</x:v>
      </x:c>
      <x:c r="D12" s="3" t="str">
        <x:v>Verify establish runtime contracts and repair baseline defects against every acceptance criterion.
1. Supported query backends return a valid response or structured unavailable state.
2. Fresh startup succeeds without a pre-existing logs directory.
3. No cloud embedding branch activates in the selected runtime.
4. Required desktop operation does not install optional video transcription dependencies.</x:v>
      </x:c>
      <x:c r="E12" s="7" t="str">
        <x:v>Done</x:v>
      </x:c>
      <x:c r="F12" s="7" t="str">
        <x:v>Coordinator</x:v>
      </x:c>
      <x:c r="G12" s="3" t="str">
        <x:v>python -m pytest -q tests/acceptance/test_runtime_contracts.py
All applicable acceptance criteria pass; separately record manual-source, hardware or clean-installation observations when required.</x:v>
      </x:c>
      <x:c r="H12" s="3" t="str">
        <x:v>Local development</x:v>
      </x:c>
      <x:c r="I12" s="7" t="str"/>
      <x:c r="J12" s="3" t="str">
        <x:v>Engineering</x:v>
      </x:c>
      <x:c r="K12" s="3" t="str">
        <x:v>Initial</x:v>
      </x:c>
      <x:c r="L12" s="3" t="str">
        <x:v>["CC-T002-S02"]</x:v>
      </x:c>
      <x:c r="M12" s="3" t="str">
        <x:v>[]</x:v>
      </x:c>
      <x:c r="N12" s="3" t="str">
        <x:v>["CC-E011"]</x:v>
      </x:c>
      <x:c r="O12" s="3" t="str">
        <x:v>Supported query backends return a valid response or structured unavailable state.
Fresh startup succeeds without a pre-existing logs directory.
No cloud embedding branch activates in the selected runtime.
Required desktop operation does not install optional video transcription dependencies.</x:v>
      </x:c>
      <x:c r="P12" s="3" t="str">
        <x:v>["evidence/CC-T002/verification/"]</x:v>
      </x:c>
      <x:c r="Q12" s="3" t="str">
        <x:v>CC_Workshop_Implementation_Plan.md#cc-t002--establish-runtime-contracts-and-repair-baseline-defects</x:v>
      </x:c>
      <x:c r="R12" s="8" t="n">
        <x:v>46275.534289814816</x:v>
      </x:c>
      <x:c r="S12" s="8" t="str"/>
      <x:c r="T12" s="8" t="n">
        <x:v>46275.53426082176</x:v>
      </x:c>
      <x:c r="U12" s="7" t="str"/>
      <x:c r="V12" s="7" t="str">
        <x:v>Coordinator full suite passed: 67 tests and 13 subtests. Actual persistent Chroma regression and isolated startup checks included.</x:v>
      </x:c>
      <x:c r="W12" s="7" t="str">
        <x:v>CC-RUN-T002-coordinator-final</x:v>
      </x:c>
      <x:c r="X12" s="7" t="str">
        <x:v>88934b493a27e67e77052fd064757278523b40be</x:v>
      </x:c>
    </x:row>
    <x:row r="13" ht="54" customHeight="1">
      <x:c r="A13" s="3" t="str">
        <x:v>CC-T002-S04</x:v>
      </x:c>
      <x:c r="B13" s="3" t="str">
        <x:v>CC-T002</x:v>
      </x:c>
      <x:c r="C13" s="3" t="n">
        <x:v>4</x:v>
      </x:c>
      <x:c r="D13" s="3" t="str">
        <x:v>Review establish runtime contracts and repair baseline defects, reconcile its evidence and handover, and record the commit if one is created.</x:v>
      </x:c>
      <x:c r="E13" s="7" t="str">
        <x:v>Done</x:v>
      </x:c>
      <x:c r="F13" s="7" t="str">
        <x:v>Coordinator</x:v>
      </x:c>
      <x:c r="G13" s="3" t="str">
        <x:v>Independent review and all required evidence resolve task acceptance; tracker and handover agree. Record only an existing commit.</x:v>
      </x:c>
      <x:c r="H13" s="3" t="str">
        <x:v>Local development</x:v>
      </x:c>
      <x:c r="I13" s="7" t="str"/>
      <x:c r="J13" s="3" t="str">
        <x:v>Engineering</x:v>
      </x:c>
      <x:c r="K13" s="3" t="str">
        <x:v>Initial</x:v>
      </x:c>
      <x:c r="L13" s="3" t="str">
        <x:v>["CC-T002-S03"]</x:v>
      </x:c>
      <x:c r="M13" s="3" t="str">
        <x:v>[]</x:v>
      </x:c>
      <x:c r="N13" s="3" t="str">
        <x:v>["CC-E012"]</x:v>
      </x:c>
      <x:c r="O13" s="3" t="str">
        <x:v>Review findings resolved or explicitly recorded; evidence links valid; tracker consistent; commit field is blank or identifies an actual commit.</x:v>
      </x:c>
      <x:c r="P13" s="3" t="str">
        <x:v>["evidence/CC-T002/review/"]</x:v>
      </x:c>
      <x:c r="Q13" s="3" t="str">
        <x:v>CC_Workshop_Implementation_Plan.md#cc-t002--establish-runtime-contracts-and-repair-baseline-defects</x:v>
      </x:c>
      <x:c r="R13" s="8" t="n">
        <x:v>46275.534289814816</x:v>
      </x:c>
      <x:c r="S13" s="8" t="str"/>
      <x:c r="T13" s="8" t="n">
        <x:v>46275.53426082176</x:v>
      </x:c>
      <x:c r="U13" s="7" t="str"/>
      <x:c r="V13" s="7" t="str">
        <x:v>Independent scoped review resolved R1-R3 and verified test isolation. No remaining T002 blocker. Final staged whitespace check passed after removing one extra trailing blank line.</x:v>
      </x:c>
      <x:c r="W13" s="7" t="str">
        <x:v>CC-RUN-T002-coordinator-final</x:v>
      </x:c>
      <x:c r="X13" s="7" t="str">
        <x:v>88934b493a27e67e77052fd064757278523b40be</x:v>
      </x:c>
    </x:row>
    <x:row r="14" ht="96" customHeight="1">
      <x:c r="A14" s="3" t="str">
        <x:v>CC-T003-S01</x:v>
      </x:c>
      <x:c r="B14" s="3" t="str">
        <x:v>CC-T003</x:v>
      </x:c>
      <x:c r="C14" s="3" t="n">
        <x:v>1</x:v>
      </x:c>
      <x:c r="D14" s="3" t="str">
        <x:v>Establish regression and acceptance fixtures for implement the garage storage boundary.
1. Two Garages with conflicting private data remain isolated.
2. Cross-Garage record IDs cannot retrieve content.
3. Traversal and escaped storage paths are rejected.
4. Restart preserves both Garages.
5. Concurrent requests do not change one another’s vehicle context.</x:v>
      </x:c>
      <x:c r="E14" s="7" t="str">
        <x:v>Done</x:v>
      </x:c>
      <x:c r="F14" s="7" t="str">
        <x:v>Coordinator</x:v>
      </x:c>
      <x:c r="G14" s="3" t="str">
        <x:v>python -m pytest -q tests/acceptance/test_garage_isolation.py
Confirm the relevant missing or incorrect behavior for the task's acceptance criteria; record the actual failing behavior and command result.</x:v>
      </x:c>
      <x:c r="H14" s="3" t="str">
        <x:v>Local development</x:v>
      </x:c>
      <x:c r="I14" s="7" t="str">
        <x:v>User resumed implementation on 2026-09-12. Preserve earlier failed evidence and establish current regression baseline.</x:v>
      </x:c>
      <x:c r="J14" s="3" t="str">
        <x:v>Engineering</x:v>
      </x:c>
      <x:c r="K14" s="3" t="str">
        <x:v>Initial</x:v>
      </x:c>
      <x:c r="L14" s="3" t="str">
        <x:v>[]</x:v>
      </x:c>
      <x:c r="M14" s="3" t="str">
        <x:v>[]</x:v>
      </x:c>
      <x:c r="N14" s="3" t="str">
        <x:v>["CC-E013"]</x:v>
      </x:c>
      <x:c r="O14" s="3" t="str">
        <x:v>Fixtures cover these expected behaviors and demonstrate the relevant baseline gap:
Two Garages with conflicting private data remain isolated.
Cross-Garage record IDs cannot retrieve content.
Traversal and escaped storage paths are rejected.
Restart preserves both Garages.
Concurrent requests do not change one another’s vehicle context.</x:v>
      </x:c>
      <x:c r="P14" s="3" t="str">
        <x:v>["tests/acceptance/test_garage_isolation.py"]</x:v>
      </x:c>
      <x:c r="Q14" s="3" t="str">
        <x:v>CC_Workshop_Implementation_Plan.md#cc-t003--implement-the-garage-storage-boundary</x:v>
      </x:c>
      <x:c r="R14" s="8" t="n">
        <x:v>46279.50255953704</x:v>
      </x:c>
      <x:c r="S14" s="8" t="n">
        <x:v>46277.745404166664</x:v>
      </x:c>
      <x:c r="T14" s="8" t="n">
        <x:v>46277.97015940972</x:v>
      </x:c>
      <x:c r="U14" s="7" t="str">
        <x:v>CC-RUN-resume-direct-20260912</x:v>
      </x:c>
      <x:c r="V14" s="7" t="str">
        <x:v>Regression and acceptance coverage established for the resumed implementation path.</x:v>
      </x:c>
      <x:c r="W14" s="7" t="str">
        <x:v>CC-RUN-resume-direct-20260912</x:v>
      </x:c>
      <x:c r="X14" s="7" t="str">
        <x:v>933a39204a90ff60d26c96444de66dc379e31065</x:v>
      </x:c>
    </x:row>
    <x:row r="15" ht="84" customHeight="1">
      <x:c r="A15" s="3" t="str">
        <x:v>CC-T003-S02</x:v>
      </x:c>
      <x:c r="B15" s="3" t="str">
        <x:v>CC-T003</x:v>
      </x:c>
      <x:c r="C15" s="3" t="n">
        <x:v>2</x:v>
      </x:c>
      <x:c r="D15" s="3" t="str">
        <x:v>Implement implement the garage storage boundary.
1. Add Garage registry and creation/read/update operations.
2. Create one SQLite database and vector-storage root per confirmed VIN.
3. Add immutable VehicleContext.
4. Replace global vehicle state in storage and retrieval entry points.
5. Add scoped file resolution and single-instance storage ownership.</x:v>
      </x:c>
      <x:c r="E15" s="7" t="str">
        <x:v>Done</x:v>
      </x:c>
      <x:c r="F15" s="7" t="str">
        <x:v>Coordinator</x:v>
      </x:c>
      <x:c r="G15" s="3" t="str">
        <x:v>Implementation covers the task-specific behavior; no claim of verification is made until S03.</x:v>
      </x:c>
      <x:c r="H15" s="3" t="str">
        <x:v>Local development</x:v>
      </x:c>
      <x:c r="I15" s="7" t="str">
        <x:v>Do not duplicate the newer implementation; retain and complete it.</x:v>
      </x:c>
      <x:c r="J15" s="3" t="str">
        <x:v>Engineering</x:v>
      </x:c>
      <x:c r="K15" s="3" t="str">
        <x:v>Initial</x:v>
      </x:c>
      <x:c r="L15" s="3" t="str">
        <x:v>["CC-T003-S01"]</x:v>
      </x:c>
      <x:c r="M15" s="3" t="str">
        <x:v>[]</x:v>
      </x:c>
      <x:c r="N15" s="3" t="str">
        <x:v>["CC-E014"]</x:v>
      </x:c>
      <x:c r="O15" s="3" t="str">
        <x:v>Add Garage registry and creation/read/update operations.
Create one SQLite database and vector-storage root per confirmed VIN.
Add immutable VehicleContext.
Replace global vehicle state in storage and retrieval entry points.
Add scoped file resolution and single-instance storage ownership.</x:v>
      </x:c>
      <x:c r="P15" s="3" t="str">
        <x:v>[]</x:v>
      </x:c>
      <x:c r="Q15" s="3" t="str">
        <x:v>CC_Workshop_Implementation_Plan.md#cc-t003--implement-the-garage-storage-boundary</x:v>
      </x:c>
      <x:c r="R15" s="8" t="n">
        <x:v>46279.50255953704</x:v>
      </x:c>
      <x:c r="S15" s="8" t="str"/>
      <x:c r="T15" s="8" t="n">
        <x:v>46277.97015940972</x:v>
      </x:c>
      <x:c r="U15" s="7" t="str">
        <x:v>CC-RUN-resume-direct-20260912</x:v>
      </x:c>
      <x:c r="V15" s="7" t="str">
        <x:v>Implementation committed in source revision 933a39204a90ff60d26c96444de66dc379e31065.</x:v>
      </x:c>
      <x:c r="W15" s="7" t="str">
        <x:v>CC-RUN-resume-direct-20260912</x:v>
      </x:c>
      <x:c r="X15" s="7" t="str">
        <x:v>933a39204a90ff60d26c96444de66dc379e31065</x:v>
      </x:c>
    </x:row>
    <x:row r="16" ht="96" customHeight="1">
      <x:c r="A16" s="3" t="str">
        <x:v>CC-T003-S03</x:v>
      </x:c>
      <x:c r="B16" s="3" t="str">
        <x:v>CC-T003</x:v>
      </x:c>
      <x:c r="C16" s="3" t="n">
        <x:v>3</x:v>
      </x:c>
      <x:c r="D16" s="3" t="str">
        <x:v>Verify implement the garage storage boundary against every acceptance criterion.
1. Two Garages with conflicting private data remain isolated.
2. Cross-Garage record IDs cannot retrieve content.
3. Traversal and escaped storage paths are rejected.
4. Restart preserves both Garages.
5. Concurrent requests do not change one another’s vehicle context.</x:v>
      </x:c>
      <x:c r="E16" s="7" t="str">
        <x:v>Done</x:v>
      </x:c>
      <x:c r="F16" s="7" t="str">
        <x:v>Coordinator</x:v>
      </x:c>
      <x:c r="G16" s="3" t="str">
        <x:v>python -m pytest -q tests/acceptance/test_garage_isolation.py
All applicable acceptance criteria pass; separately record manual-source, hardware or clean-installation observations when required.</x:v>
      </x:c>
      <x:c r="H16" s="3" t="str">
        <x:v>Local development</x:v>
      </x:c>
      <x:c r="I16" s="7" t="str">
        <x:v>Observed fixture pass is distinct from task gate completion.</x:v>
      </x:c>
      <x:c r="J16" s="3" t="str">
        <x:v>Engineering</x:v>
      </x:c>
      <x:c r="K16" s="3" t="str">
        <x:v>Initial</x:v>
      </x:c>
      <x:c r="L16" s="3" t="str">
        <x:v>["CC-T003-S02"]</x:v>
      </x:c>
      <x:c r="M16" s="3" t="str">
        <x:v>[]</x:v>
      </x:c>
      <x:c r="N16" s="3" t="str">
        <x:v>["CC-E015"]</x:v>
      </x:c>
      <x:c r="O16" s="3" t="str">
        <x:v>Two Garages with conflicting private data remain isolated.
Cross-Garage record IDs cannot retrieve content.
Traversal and escaped storage paths are rejected.
Restart preserves both Garages.
Concurrent requests do not change one another’s vehicle context.</x:v>
      </x:c>
      <x:c r="P16" s="3" t="str">
        <x:v>["evidence/CC-T003/verification/"]</x:v>
      </x:c>
      <x:c r="Q16" s="3" t="str">
        <x:v>CC_Workshop_Implementation_Plan.md#cc-t003--implement-the-garage-storage-boundary</x:v>
      </x:c>
      <x:c r="R16" s="8" t="n">
        <x:v>46279.50255953704</x:v>
      </x:c>
      <x:c r="S16" s="8" t="str"/>
      <x:c r="T16" s="8" t="n">
        <x:v>46277.97015940972</x:v>
      </x:c>
      <x:c r="U16" s="7" t="str">
        <x:v>CC-RUN-resume-direct-20260912</x:v>
      </x:c>
      <x:c r="V16" s="7" t="str">
        <x:v>Focused verification passed; full suite also passed. Final review still open.</x:v>
      </x:c>
      <x:c r="W16" s="7" t="str">
        <x:v>CC-RUN-resume-direct-20260912</x:v>
      </x:c>
      <x:c r="X16" s="7" t="str">
        <x:v>933a39204a90ff60d26c96444de66dc379e31065</x:v>
      </x:c>
    </x:row>
    <x:row r="17" ht="54" customHeight="1">
      <x:c r="A17" s="3" t="str">
        <x:v>CC-T003-S04</x:v>
      </x:c>
      <x:c r="B17" s="3" t="str">
        <x:v>CC-T003</x:v>
      </x:c>
      <x:c r="C17" s="3" t="n">
        <x:v>4</x:v>
      </x:c>
      <x:c r="D17" s="3" t="str">
        <x:v>Review implement the garage storage boundary, reconcile its evidence and handover, and record the commit if one is created.</x:v>
      </x:c>
      <x:c r="E17" s="7" t="str">
        <x:v>Done</x:v>
      </x:c>
      <x:c r="F17" s="7" t="str">
        <x:v>Coordinator</x:v>
      </x:c>
      <x:c r="G17" s="3" t="str">
        <x:v>Independent review and all required evidence resolve task acceptance; tracker and handover agree. Record only an existing commit.</x:v>
      </x:c>
      <x:c r="H17" s="3" t="str">
        <x:v>Local development</x:v>
      </x:c>
      <x:c r="I17" s="7" t="str"/>
      <x:c r="J17" s="3" t="str">
        <x:v>Engineering</x:v>
      </x:c>
      <x:c r="K17" s="3" t="str">
        <x:v>Initial</x:v>
      </x:c>
      <x:c r="L17" s="3" t="str">
        <x:v>["CC-T003-S03"]</x:v>
      </x:c>
      <x:c r="M17" s="3" t="str">
        <x:v>[]</x:v>
      </x:c>
      <x:c r="N17" s="3" t="str">
        <x:v>["CC-E016"]</x:v>
      </x:c>
      <x:c r="O17" s="3" t="str">
        <x:v>Review findings resolved or explicitly recorded; evidence links valid; tracker consistent; commit field is blank or identifies an actual commit.</x:v>
      </x:c>
      <x:c r="P17" s="3" t="str">
        <x:v>["evidence/CC-T003/review/"]</x:v>
      </x:c>
      <x:c r="Q17" s="3" t="str">
        <x:v>CC_Workshop_Implementation_Plan.md#cc-t003--implement-the-garage-storage-boundary</x:v>
      </x:c>
      <x:c r="R17" s="8" t="n">
        <x:v>46279.50255953704</x:v>
      </x:c>
      <x:c r="S17" s="8" t="n">
        <x:v>46277.97015940972</x:v>
      </x:c>
      <x:c r="T17" s="8" t="n">
        <x:v>46279.506944444445</x:v>
      </x:c>
      <x:c r="U17" s="7" t="str">
        <x:v>CC-RUN-reviewer-fixes-20260914</x:v>
      </x:c>
      <x:c r="V17" s="7" t="str">
        <x:v>Independent reviewer findings were addressed, focused reviewer-fix verification passed, full suite passed, and tracker evidence was reconciled.</x:v>
      </x:c>
      <x:c r="W17" s="7" t="str">
        <x:v>CC-RUN-reviewer-fixes-20260914</x:v>
      </x:c>
      <x:c r="X17" s="7" t="str">
        <x:v>1e87202a7ed8923e270090aa87f22a4947a68bcc</x:v>
      </x:c>
    </x:row>
    <x:row r="18" ht="96" customHeight="1">
      <x:c r="A18" s="3" t="str">
        <x:v>CC-T004-S01</x:v>
      </x:c>
      <x:c r="B18" s="3" t="str">
        <x:v>CC-T004</x:v>
      </x:c>
      <x:c r="C18" s="3" t="n">
        <x:v>1</x:v>
      </x:c>
      <x:c r="D18" s="3" t="str">
        <x:v>Establish regression and acceptance fixtures for add vehicle profiles and applicability decisions.
1. Missing metadata produces unknown applicability.
2. A wrong transmission, engine, market or PR code is excluded.
3. Historical vehicle descriptions do not become confirmed fields automatically.
4. A profile change makes dependent procedure approvals stale.</x:v>
      </x:c>
      <x:c r="E18" s="7" t="str">
        <x:v>Not started</x:v>
      </x:c>
      <x:c r="F18" s="7" t="str"/>
      <x:c r="G18" s="3" t="str">
        <x:v>python -m pytest -q tests/acceptance/test_vehicle_applicability.py
Confirm the relevant missing or incorrect behavior for the task's acceptance criteria; record the actual failing behavior and command result.</x:v>
      </x:c>
      <x:c r="H18" s="3" t="str">
        <x:v>Local development</x:v>
      </x:c>
      <x:c r="I18" s="7" t="str"/>
      <x:c r="J18" s="3" t="str">
        <x:v>Engineering</x:v>
      </x:c>
      <x:c r="K18" s="3" t="str">
        <x:v>Initial</x:v>
      </x:c>
      <x:c r="L18" s="3" t="str">
        <x:v>[]</x:v>
      </x:c>
      <x:c r="M18" s="3" t="str">
        <x:v>[]</x:v>
      </x:c>
      <x:c r="N18" s="3" t="str">
        <x:v>["CC-E017"]</x:v>
      </x:c>
      <x:c r="O18" s="3" t="str">
        <x:v>Fixtures cover these expected behaviors and demonstrate the relevant baseline gap:
Missing metadata produces unknown applicability.
A wrong transmission, engine, market or PR code is excluded.
Historical vehicle descriptions do not become confirmed fields automatically.
A profile change makes dependent procedure approvals stale.</x:v>
      </x:c>
      <x:c r="P18" s="3" t="str">
        <x:v>["tests/acceptance/test_vehicle_applicability.py"]</x:v>
      </x:c>
      <x:c r="Q18" s="3" t="str">
        <x:v>CC_Workshop_Implementation_Plan.md#cc-t004--add-vehicle-profiles-and-applicability-decisions</x:v>
      </x:c>
      <x:c r="R18" s="8" t="n">
        <x:v>46275.51530535879</x:v>
      </x:c>
      <x:c r="S18" s="8" t="str"/>
      <x:c r="T18" s="8" t="str"/>
      <x:c r="U18" s="7" t="str"/>
      <x:c r="V18" s="7" t="str"/>
      <x:c r="W18" s="7" t="str"/>
      <x:c r="X18" s="7" t="str"/>
    </x:row>
    <x:row r="19" ht="108" customHeight="1">
      <x:c r="A19" s="3" t="str">
        <x:v>CC-T004-S02</x:v>
      </x:c>
      <x:c r="B19" s="3" t="str">
        <x:v>CC-T004</x:v>
      </x:c>
      <x:c r="C19" s="3" t="n">
        <x:v>2</x:v>
      </x:c>
      <x:c r="D19" s="3" t="str">
        <x:v>Implement add vehicle profiles and applicability decisions.
1. Store vehicle configuration fields with individual confirmation evidence.
2. Add identification drafts.
3. Introduce applicability results: confirmed match, confirmed mismatch and unknown.
4. Replace legacy fail-open behavior on repair paths.
5. Record profile revisions and invalidate dependent results.</x:v>
      </x:c>
      <x:c r="E19" s="7" t="str">
        <x:v>Not started</x:v>
      </x:c>
      <x:c r="F19" s="7" t="str"/>
      <x:c r="G19" s="3" t="str">
        <x:v>Implementation covers the task-specific behavior; no claim of verification is made until S03.</x:v>
      </x:c>
      <x:c r="H19" s="3" t="str">
        <x:v>Local development</x:v>
      </x:c>
      <x:c r="I19" s="7" t="str"/>
      <x:c r="J19" s="3" t="str">
        <x:v>Engineering</x:v>
      </x:c>
      <x:c r="K19" s="3" t="str">
        <x:v>Initial</x:v>
      </x:c>
      <x:c r="L19" s="3" t="str">
        <x:v>["CC-T004-S01"]</x:v>
      </x:c>
      <x:c r="M19" s="3" t="str">
        <x:v>[]</x:v>
      </x:c>
      <x:c r="N19" s="3" t="str">
        <x:v>["CC-E018"]</x:v>
      </x:c>
      <x:c r="O19" s="3" t="str">
        <x:v>Store vehicle configuration fields with individual confirmation evidence.
Add identification drafts.
Introduce applicability results: confirmed match, confirmed mismatch and unknown.
Replace legacy fail-open behavior on repair paths.
Record profile revisions and invalidate dependent results.</x:v>
      </x:c>
      <x:c r="P19" s="3" t="str">
        <x:v>[]</x:v>
      </x:c>
      <x:c r="Q19" s="3" t="str">
        <x:v>CC_Workshop_Implementation_Plan.md#cc-t004--add-vehicle-profiles-and-applicability-decisions</x:v>
      </x:c>
      <x:c r="R19" s="8" t="n">
        <x:v>46275.51530535879</x:v>
      </x:c>
      <x:c r="S19" s="8" t="str"/>
      <x:c r="T19" s="8" t="str"/>
      <x:c r="U19" s="7" t="str"/>
      <x:c r="V19" s="7" t="str"/>
      <x:c r="W19" s="7" t="str"/>
      <x:c r="X19" s="7" t="str"/>
    </x:row>
    <x:row r="20" ht="96" customHeight="1">
      <x:c r="A20" s="3" t="str">
        <x:v>CC-T004-S03</x:v>
      </x:c>
      <x:c r="B20" s="3" t="str">
        <x:v>CC-T004</x:v>
      </x:c>
      <x:c r="C20" s="3" t="n">
        <x:v>3</x:v>
      </x:c>
      <x:c r="D20" s="3" t="str">
        <x:v>Verify add vehicle profiles and applicability decisions against every acceptance criterion.
1. Missing metadata produces unknown applicability.
2. A wrong transmission, engine, market or PR code is excluded.
3. Historical vehicle descriptions do not become confirmed fields automatically.
4. A profile change makes dependent procedure approvals stale.</x:v>
      </x:c>
      <x:c r="E20" s="7" t="str">
        <x:v>Not started</x:v>
      </x:c>
      <x:c r="F20" s="7" t="str"/>
      <x:c r="G20" s="3" t="str">
        <x:v>python -m pytest -q tests/acceptance/test_vehicle_applicability.py
All applicable acceptance criteria pass; separately record manual-source, hardware or clean-installation observations when required.</x:v>
      </x:c>
      <x:c r="H20" s="3" t="str">
        <x:v>Local development</x:v>
      </x:c>
      <x:c r="I20" s="7" t="str"/>
      <x:c r="J20" s="3" t="str">
        <x:v>Engineering</x:v>
      </x:c>
      <x:c r="K20" s="3" t="str">
        <x:v>Initial</x:v>
      </x:c>
      <x:c r="L20" s="3" t="str">
        <x:v>["CC-T004-S02"]</x:v>
      </x:c>
      <x:c r="M20" s="3" t="str">
        <x:v>[]</x:v>
      </x:c>
      <x:c r="N20" s="3" t="str">
        <x:v>["CC-E019"]</x:v>
      </x:c>
      <x:c r="O20" s="3" t="str">
        <x:v>Missing metadata produces unknown applicability.
A wrong transmission, engine, market or PR code is excluded.
Historical vehicle descriptions do not become confirmed fields automatically.
A profile change makes dependent procedure approvals stale.</x:v>
      </x:c>
      <x:c r="P20" s="3" t="str">
        <x:v>["evidence/CC-T004/verification/"]</x:v>
      </x:c>
      <x:c r="Q20" s="3" t="str">
        <x:v>CC_Workshop_Implementation_Plan.md#cc-t004--add-vehicle-profiles-and-applicability-decisions</x:v>
      </x:c>
      <x:c r="R20" s="8" t="n">
        <x:v>46275.51530535879</x:v>
      </x:c>
      <x:c r="S20" s="8" t="str"/>
      <x:c r="T20" s="8" t="str"/>
      <x:c r="U20" s="7" t="str"/>
      <x:c r="V20" s="7" t="str"/>
      <x:c r="W20" s="7" t="str"/>
      <x:c r="X20" s="7" t="str"/>
    </x:row>
    <x:row r="21" ht="54" customHeight="1">
      <x:c r="A21" s="3" t="str">
        <x:v>CC-T004-S04</x:v>
      </x:c>
      <x:c r="B21" s="3" t="str">
        <x:v>CC-T004</x:v>
      </x:c>
      <x:c r="C21" s="3" t="n">
        <x:v>4</x:v>
      </x:c>
      <x:c r="D21" s="3" t="str">
        <x:v>Review add vehicle profiles and applicability decisions, reconcile its evidence and handover, and record the commit if one is created.</x:v>
      </x:c>
      <x:c r="E21" s="7" t="str">
        <x:v>Not started</x:v>
      </x:c>
      <x:c r="F21" s="7" t="str"/>
      <x:c r="G21" s="3" t="str">
        <x:v>Independent review and all required evidence resolve task acceptance; tracker and handover agree. Record only an existing commit.</x:v>
      </x:c>
      <x:c r="H21" s="3" t="str">
        <x:v>Local development</x:v>
      </x:c>
      <x:c r="I21" s="7" t="str"/>
      <x:c r="J21" s="3" t="str">
        <x:v>Engineering</x:v>
      </x:c>
      <x:c r="K21" s="3" t="str">
        <x:v>Initial</x:v>
      </x:c>
      <x:c r="L21" s="3" t="str">
        <x:v>["CC-T004-S03"]</x:v>
      </x:c>
      <x:c r="M21" s="3" t="str">
        <x:v>[]</x:v>
      </x:c>
      <x:c r="N21" s="3" t="str">
        <x:v>["CC-E020"]</x:v>
      </x:c>
      <x:c r="O21" s="3" t="str">
        <x:v>Review findings resolved or explicitly recorded; evidence links valid; tracker consistent; commit field is blank or identifies an actual commit.</x:v>
      </x:c>
      <x:c r="P21" s="3" t="str">
        <x:v>["evidence/CC-T004/review/"]</x:v>
      </x:c>
      <x:c r="Q21" s="3" t="str">
        <x:v>CC_Workshop_Implementation_Plan.md#cc-t004--add-vehicle-profiles-and-applicability-decisions</x:v>
      </x:c>
      <x:c r="R21" s="8" t="n">
        <x:v>46275.51530535879</x:v>
      </x:c>
      <x:c r="S21" s="8" t="str"/>
      <x:c r="T21" s="8" t="str"/>
      <x:c r="U21" s="7" t="str"/>
      <x:c r="V21" s="7" t="str"/>
      <x:c r="W21" s="7" t="str"/>
      <x:c r="X21" s="7" t="str"/>
    </x:row>
    <x:row r="22" ht="96" customHeight="1">
      <x:c r="A22" s="3" t="str">
        <x:v>CC-T005-S01</x:v>
      </x:c>
      <x:c r="B22" s="3" t="str">
        <x:v>CC-T005</x:v>
      </x:c>
      <x:c r="C22" s="3" t="n">
        <x:v>1</x:v>
      </x:c>
      <x:c r="D22" s="3" t="str">
        <x:v>Establish regression and acceptance fixtures for create canonical source and provenance records.
1. Duplicate identical files do not create conflicting originals.
2. Derivatives resolve to their canonical source.
3. Printed labels and physical page numbers remain distinct.
4. A source cannot become available to a Garage through filename similarity alone.</x:v>
      </x:c>
      <x:c r="E22" s="7" t="str">
        <x:v>Not started</x:v>
      </x:c>
      <x:c r="F22" s="7" t="str"/>
      <x:c r="G22" s="3" t="str">
        <x:v>python -m pytest -q tests/acceptance/test_source_provenance.py
Confirm the relevant missing or incorrect behavior for the task's acceptance criteria; record the actual failing behavior and command result.</x:v>
      </x:c>
      <x:c r="H22" s="3" t="str">
        <x:v>Local development</x:v>
      </x:c>
      <x:c r="I22" s="7" t="str"/>
      <x:c r="J22" s="3" t="str">
        <x:v>Engineering</x:v>
      </x:c>
      <x:c r="K22" s="3" t="str">
        <x:v>Initial</x:v>
      </x:c>
      <x:c r="L22" s="3" t="str">
        <x:v>[]</x:v>
      </x:c>
      <x:c r="M22" s="3" t="str">
        <x:v>[]</x:v>
      </x:c>
      <x:c r="N22" s="3" t="str">
        <x:v>["CC-E021"]</x:v>
      </x:c>
      <x:c r="O22" s="3" t="str">
        <x:v>Fixtures cover these expected behaviors and demonstrate the relevant baseline gap:
Duplicate identical files do not create conflicting originals.
Derivatives resolve to their canonical source.
Printed labels and physical page numbers remain distinct.
A source cannot become available to a Garage through filename similarity alone.</x:v>
      </x:c>
      <x:c r="P22" s="3" t="str">
        <x:v>["tests/acceptance/test_source_provenance.py"]</x:v>
      </x:c>
      <x:c r="Q22" s="3" t="str">
        <x:v>CC_Workshop_Implementation_Plan.md#cc-t005--create-canonical-source-and-provenance-records</x:v>
      </x:c>
      <x:c r="R22" s="8" t="n">
        <x:v>46275.51530535879</x:v>
      </x:c>
      <x:c r="S22" s="8" t="str"/>
      <x:c r="T22" s="8" t="str"/>
      <x:c r="U22" s="7" t="str"/>
      <x:c r="V22" s="7" t="str"/>
      <x:c r="W22" s="7" t="str"/>
      <x:c r="X22" s="7" t="str"/>
    </x:row>
    <x:row r="23" ht="96" customHeight="1">
      <x:c r="A23" s="3" t="str">
        <x:v>CC-T005-S02</x:v>
      </x:c>
      <x:c r="B23" s="3" t="str">
        <x:v>CC-T005</x:v>
      </x:c>
      <x:c r="C23" s="3" t="n">
        <x:v>2</x:v>
      </x:c>
      <x:c r="D23" s="3" t="str">
        <x:v>Implement create canonical source and provenance records.
1. Register immutable originals by hash.
2. Separate source role, authority, applicability and access scope.
3. Represent pages, evidence spans and derivative relationships.
4. Add explicit page maps for transformed documents.
5. Include a versioned media-reference type that can later represent video timestamps.</x:v>
      </x:c>
      <x:c r="E23" s="7" t="str">
        <x:v>Not started</x:v>
      </x:c>
      <x:c r="F23" s="7" t="str"/>
      <x:c r="G23" s="3" t="str">
        <x:v>Implementation covers the task-specific behavior; no claim of verification is made until S03.</x:v>
      </x:c>
      <x:c r="H23" s="3" t="str">
        <x:v>Local development</x:v>
      </x:c>
      <x:c r="I23" s="7" t="str"/>
      <x:c r="J23" s="3" t="str">
        <x:v>Engineering</x:v>
      </x:c>
      <x:c r="K23" s="3" t="str">
        <x:v>Initial</x:v>
      </x:c>
      <x:c r="L23" s="3" t="str">
        <x:v>["CC-T005-S01"]</x:v>
      </x:c>
      <x:c r="M23" s="3" t="str">
        <x:v>[]</x:v>
      </x:c>
      <x:c r="N23" s="3" t="str">
        <x:v>["CC-E022"]</x:v>
      </x:c>
      <x:c r="O23" s="3" t="str">
        <x:v>Register immutable originals by hash.
Separate source role, authority, applicability and access scope.
Represent pages, evidence spans and derivative relationships.
Add explicit page maps for transformed documents.
Include a versioned media-reference type that can later represent video timestamps.</x:v>
      </x:c>
      <x:c r="P23" s="3" t="str">
        <x:v>[]</x:v>
      </x:c>
      <x:c r="Q23" s="3" t="str">
        <x:v>CC_Workshop_Implementation_Plan.md#cc-t005--create-canonical-source-and-provenance-records</x:v>
      </x:c>
      <x:c r="R23" s="8" t="n">
        <x:v>46275.51530535879</x:v>
      </x:c>
      <x:c r="S23" s="8" t="str"/>
      <x:c r="T23" s="8" t="str"/>
      <x:c r="U23" s="7" t="str"/>
      <x:c r="V23" s="7" t="str"/>
      <x:c r="W23" s="7" t="str"/>
      <x:c r="X23" s="7" t="str"/>
    </x:row>
    <x:row r="24" ht="96" customHeight="1">
      <x:c r="A24" s="3" t="str">
        <x:v>CC-T005-S03</x:v>
      </x:c>
      <x:c r="B24" s="3" t="str">
        <x:v>CC-T005</x:v>
      </x:c>
      <x:c r="C24" s="3" t="n">
        <x:v>3</x:v>
      </x:c>
      <x:c r="D24" s="3" t="str">
        <x:v>Verify create canonical source and provenance records against every acceptance criterion.
1. Duplicate identical files do not create conflicting originals.
2. Derivatives resolve to their canonical source.
3. Printed labels and physical page numbers remain distinct.
4. A source cannot become available to a Garage through filename similarity alone.</x:v>
      </x:c>
      <x:c r="E24" s="7" t="str">
        <x:v>Not started</x:v>
      </x:c>
      <x:c r="F24" s="7" t="str"/>
      <x:c r="G24" s="3" t="str">
        <x:v>python -m pytest -q tests/acceptance/test_source_provenance.py
All applicable acceptance criteria pass; separately record manual-source, hardware or clean-installation observations when required.</x:v>
      </x:c>
      <x:c r="H24" s="3" t="str">
        <x:v>Local development</x:v>
      </x:c>
      <x:c r="I24" s="7" t="str"/>
      <x:c r="J24" s="3" t="str">
        <x:v>Engineering</x:v>
      </x:c>
      <x:c r="K24" s="3" t="str">
        <x:v>Initial</x:v>
      </x:c>
      <x:c r="L24" s="3" t="str">
        <x:v>["CC-T005-S02"]</x:v>
      </x:c>
      <x:c r="M24" s="3" t="str">
        <x:v>[]</x:v>
      </x:c>
      <x:c r="N24" s="3" t="str">
        <x:v>["CC-E023"]</x:v>
      </x:c>
      <x:c r="O24" s="3" t="str">
        <x:v>Duplicate identical files do not create conflicting originals.
Derivatives resolve to their canonical source.
Printed labels and physical page numbers remain distinct.
A source cannot become available to a Garage through filename similarity alone.</x:v>
      </x:c>
      <x:c r="P24" s="3" t="str">
        <x:v>["evidence/CC-T005/verification/"]</x:v>
      </x:c>
      <x:c r="Q24" s="3" t="str">
        <x:v>CC_Workshop_Implementation_Plan.md#cc-t005--create-canonical-source-and-provenance-records</x:v>
      </x:c>
      <x:c r="R24" s="8" t="n">
        <x:v>46275.51530535879</x:v>
      </x:c>
      <x:c r="S24" s="8" t="str"/>
      <x:c r="T24" s="8" t="str"/>
      <x:c r="U24" s="7" t="str"/>
      <x:c r="V24" s="7" t="str"/>
      <x:c r="W24" s="7" t="str"/>
      <x:c r="X24" s="7" t="str"/>
    </x:row>
    <x:row r="25" ht="54" customHeight="1">
      <x:c r="A25" s="3" t="str">
        <x:v>CC-T005-S04</x:v>
      </x:c>
      <x:c r="B25" s="3" t="str">
        <x:v>CC-T005</x:v>
      </x:c>
      <x:c r="C25" s="3" t="n">
        <x:v>4</x:v>
      </x:c>
      <x:c r="D25" s="3" t="str">
        <x:v>Review create canonical source and provenance records, reconcile its evidence and handover, and record the commit if one is created.</x:v>
      </x:c>
      <x:c r="E25" s="7" t="str">
        <x:v>Not started</x:v>
      </x:c>
      <x:c r="F25" s="7" t="str"/>
      <x:c r="G25" s="3" t="str">
        <x:v>Independent review and all required evidence resolve task acceptance; tracker and handover agree. Record only an existing commit.</x:v>
      </x:c>
      <x:c r="H25" s="3" t="str">
        <x:v>Local development</x:v>
      </x:c>
      <x:c r="I25" s="7" t="str"/>
      <x:c r="J25" s="3" t="str">
        <x:v>Engineering</x:v>
      </x:c>
      <x:c r="K25" s="3" t="str">
        <x:v>Initial</x:v>
      </x:c>
      <x:c r="L25" s="3" t="str">
        <x:v>["CC-T005-S03"]</x:v>
      </x:c>
      <x:c r="M25" s="3" t="str">
        <x:v>[]</x:v>
      </x:c>
      <x:c r="N25" s="3" t="str">
        <x:v>["CC-E024"]</x:v>
      </x:c>
      <x:c r="O25" s="3" t="str">
        <x:v>Review findings resolved or explicitly recorded; evidence links valid; tracker consistent; commit field is blank or identifies an actual commit.</x:v>
      </x:c>
      <x:c r="P25" s="3" t="str">
        <x:v>["evidence/CC-T005/review/"]</x:v>
      </x:c>
      <x:c r="Q25" s="3" t="str">
        <x:v>CC_Workshop_Implementation_Plan.md#cc-t005--create-canonical-source-and-provenance-records</x:v>
      </x:c>
      <x:c r="R25" s="8" t="n">
        <x:v>46275.51530535879</x:v>
      </x:c>
      <x:c r="S25" s="8" t="str"/>
      <x:c r="T25" s="8" t="str"/>
      <x:c r="U25" s="7" t="str"/>
      <x:c r="V25" s="7" t="str"/>
      <x:c r="W25" s="7" t="str"/>
      <x:c r="X25" s="7" t="str"/>
    </x:row>
    <x:row r="26" ht="84" customHeight="1">
      <x:c r="A26" s="3" t="str">
        <x:v>CC-T006-S01</x:v>
      </x:c>
      <x:c r="B26" s="3" t="str">
        <x:v>CC-T006</x:v>
      </x:c>
      <x:c r="C26" s="3" t="n">
        <x:v>1</x:v>
      </x:c>
      <x:c r="D26" s="3" t="str">
        <x:v>Establish regression and acceptance fixtures for add persistent import jobs and recovery.
1. Restart during extraction or indexing resumes safely.
2. Repeated execution does not duplicate approved records.
3. A cancelled import does not publish partial evidence.
4. Disk-full and corrupt-input errors preserve existing usable data.</x:v>
      </x:c>
      <x:c r="E26" s="7" t="str">
        <x:v>Not started</x:v>
      </x:c>
      <x:c r="F26" s="7" t="str"/>
      <x:c r="G26" s="3" t="str">
        <x:v>python -m pytest -q tests/acceptance/test_import_recovery.py
Confirm the relevant missing or incorrect behavior for the task's acceptance criteria; record the actual failing behavior and command result.</x:v>
      </x:c>
      <x:c r="H26" s="3" t="str">
        <x:v>Local development</x:v>
      </x:c>
      <x:c r="I26" s="7" t="str"/>
      <x:c r="J26" s="3" t="str">
        <x:v>Engineering</x:v>
      </x:c>
      <x:c r="K26" s="3" t="str">
        <x:v>Initial</x:v>
      </x:c>
      <x:c r="L26" s="3" t="str">
        <x:v>[]</x:v>
      </x:c>
      <x:c r="M26" s="3" t="str">
        <x:v>[]</x:v>
      </x:c>
      <x:c r="N26" s="3" t="str">
        <x:v>["CC-E025"]</x:v>
      </x:c>
      <x:c r="O26" s="3" t="str">
        <x:v>Fixtures cover these expected behaviors and demonstrate the relevant baseline gap:
Restart during extraction or indexing resumes safely.
Repeated execution does not duplicate approved records.
A cancelled import does not publish partial evidence.
Disk-full and corrupt-input errors preserve existing usable data.</x:v>
      </x:c>
      <x:c r="P26" s="3" t="str">
        <x:v>["tests/acceptance/test_import_recovery.py"]</x:v>
      </x:c>
      <x:c r="Q26" s="3" t="str">
        <x:v>CC_Workshop_Implementation_Plan.md#cc-t006--add-persistent-import-jobs-and-recovery</x:v>
      </x:c>
      <x:c r="R26" s="8" t="n">
        <x:v>46275.51530535879</x:v>
      </x:c>
      <x:c r="S26" s="8" t="str"/>
      <x:c r="T26" s="8" t="str"/>
      <x:c r="U26" s="7" t="str"/>
      <x:c r="V26" s="7" t="str"/>
      <x:c r="W26" s="7" t="str"/>
      <x:c r="X26" s="7" t="str"/>
    </x:row>
    <x:row r="27" ht="72" customHeight="1">
      <x:c r="A27" s="3" t="str">
        <x:v>CC-T006-S02</x:v>
      </x:c>
      <x:c r="B27" s="3" t="str">
        <x:v>CC-T006</x:v>
      </x:c>
      <x:c r="C27" s="3" t="n">
        <x:v>2</x:v>
      </x:c>
      <x:c r="D27" s="3" t="str">
        <x:v>Implement add persistent import jobs and recovery.
1. Persist job inputs, processing versions, stages and checkpoints.
2. Add cancellation, retries and quarantine.
3. Serialize publication to active indexes.
4. Keep extraction subprocess output separate from live database writes.</x:v>
      </x:c>
      <x:c r="E27" s="7" t="str">
        <x:v>Not started</x:v>
      </x:c>
      <x:c r="F27" s="7" t="str"/>
      <x:c r="G27" s="3" t="str">
        <x:v>Implementation covers the task-specific behavior; no claim of verification is made until S03.</x:v>
      </x:c>
      <x:c r="H27" s="3" t="str">
        <x:v>Local development</x:v>
      </x:c>
      <x:c r="I27" s="7" t="str"/>
      <x:c r="J27" s="3" t="str">
        <x:v>Engineering</x:v>
      </x:c>
      <x:c r="K27" s="3" t="str">
        <x:v>Initial</x:v>
      </x:c>
      <x:c r="L27" s="3" t="str">
        <x:v>["CC-T006-S01"]</x:v>
      </x:c>
      <x:c r="M27" s="3" t="str">
        <x:v>[]</x:v>
      </x:c>
      <x:c r="N27" s="3" t="str">
        <x:v>["CC-E026"]</x:v>
      </x:c>
      <x:c r="O27" s="3" t="str">
        <x:v>Persist job inputs, processing versions, stages and checkpoints.
Add cancellation, retries and quarantine.
Serialize publication to active indexes.
Keep extraction subprocess output separate from live database writes.</x:v>
      </x:c>
      <x:c r="P27" s="3" t="str">
        <x:v>[]</x:v>
      </x:c>
      <x:c r="Q27" s="3" t="str">
        <x:v>CC_Workshop_Implementation_Plan.md#cc-t006--add-persistent-import-jobs-and-recovery</x:v>
      </x:c>
      <x:c r="R27" s="8" t="n">
        <x:v>46275.51530535879</x:v>
      </x:c>
      <x:c r="S27" s="8" t="str"/>
      <x:c r="T27" s="8" t="str"/>
      <x:c r="U27" s="7" t="str"/>
      <x:c r="V27" s="7" t="str"/>
      <x:c r="W27" s="7" t="str"/>
      <x:c r="X27" s="7" t="str"/>
    </x:row>
    <x:row r="28" ht="84" customHeight="1">
      <x:c r="A28" s="3" t="str">
        <x:v>CC-T006-S03</x:v>
      </x:c>
      <x:c r="B28" s="3" t="str">
        <x:v>CC-T006</x:v>
      </x:c>
      <x:c r="C28" s="3" t="n">
        <x:v>3</x:v>
      </x:c>
      <x:c r="D28" s="3" t="str">
        <x:v>Verify add persistent import jobs and recovery against every acceptance criterion.
1. Restart during extraction or indexing resumes safely.
2. Repeated execution does not duplicate approved records.
3. A cancelled import does not publish partial evidence.
4. Disk-full and corrupt-input errors preserve existing usable data.</x:v>
      </x:c>
      <x:c r="E28" s="7" t="str">
        <x:v>Not started</x:v>
      </x:c>
      <x:c r="F28" s="7" t="str"/>
      <x:c r="G28" s="3" t="str">
        <x:v>python -m pytest -q tests/acceptance/test_import_recovery.py
All applicable acceptance criteria pass; separately record manual-source, hardware or clean-installation observations when required.</x:v>
      </x:c>
      <x:c r="H28" s="3" t="str">
        <x:v>Local development</x:v>
      </x:c>
      <x:c r="I28" s="7" t="str"/>
      <x:c r="J28" s="3" t="str">
        <x:v>Engineering</x:v>
      </x:c>
      <x:c r="K28" s="3" t="str">
        <x:v>Initial</x:v>
      </x:c>
      <x:c r="L28" s="3" t="str">
        <x:v>["CC-T006-S02"]</x:v>
      </x:c>
      <x:c r="M28" s="3" t="str">
        <x:v>[]</x:v>
      </x:c>
      <x:c r="N28" s="3" t="str">
        <x:v>["CC-E027"]</x:v>
      </x:c>
      <x:c r="O28" s="3" t="str">
        <x:v>Restart during extraction or indexing resumes safely.
Repeated execution does not duplicate approved records.
A cancelled import does not publish partial evidence.
Disk-full and corrupt-input errors preserve existing usable data.</x:v>
      </x:c>
      <x:c r="P28" s="3" t="str">
        <x:v>["evidence/CC-T006/verification/"]</x:v>
      </x:c>
      <x:c r="Q28" s="3" t="str">
        <x:v>CC_Workshop_Implementation_Plan.md#cc-t006--add-persistent-import-jobs-and-recovery</x:v>
      </x:c>
      <x:c r="R28" s="8" t="n">
        <x:v>46275.51530535879</x:v>
      </x:c>
      <x:c r="S28" s="8" t="str"/>
      <x:c r="T28" s="8" t="str"/>
      <x:c r="U28" s="7" t="str"/>
      <x:c r="V28" s="7" t="str"/>
      <x:c r="W28" s="7" t="str"/>
      <x:c r="X28" s="7" t="str"/>
    </x:row>
    <x:row r="29" ht="54" customHeight="1">
      <x:c r="A29" s="3" t="str">
        <x:v>CC-T006-S04</x:v>
      </x:c>
      <x:c r="B29" s="3" t="str">
        <x:v>CC-T006</x:v>
      </x:c>
      <x:c r="C29" s="3" t="n">
        <x:v>4</x:v>
      </x:c>
      <x:c r="D29" s="3" t="str">
        <x:v>Review add persistent import jobs and recovery, reconcile its evidence and handover, and record the commit if one is created.</x:v>
      </x:c>
      <x:c r="E29" s="7" t="str">
        <x:v>Not started</x:v>
      </x:c>
      <x:c r="F29" s="7" t="str"/>
      <x:c r="G29" s="3" t="str">
        <x:v>Independent review and all required evidence resolve task acceptance; tracker and handover agree. Record only an existing commit.</x:v>
      </x:c>
      <x:c r="H29" s="3" t="str">
        <x:v>Local development</x:v>
      </x:c>
      <x:c r="I29" s="7" t="str"/>
      <x:c r="J29" s="3" t="str">
        <x:v>Engineering</x:v>
      </x:c>
      <x:c r="K29" s="3" t="str">
        <x:v>Initial</x:v>
      </x:c>
      <x:c r="L29" s="3" t="str">
        <x:v>["CC-T006-S03"]</x:v>
      </x:c>
      <x:c r="M29" s="3" t="str">
        <x:v>[]</x:v>
      </x:c>
      <x:c r="N29" s="3" t="str">
        <x:v>["CC-E028"]</x:v>
      </x:c>
      <x:c r="O29" s="3" t="str">
        <x:v>Review findings resolved or explicitly recorded; evidence links valid; tracker consistent; commit field is blank or identifies an actual commit.</x:v>
      </x:c>
      <x:c r="P29" s="3" t="str">
        <x:v>["evidence/CC-T006/review/"]</x:v>
      </x:c>
      <x:c r="Q29" s="3" t="str">
        <x:v>CC_Workshop_Implementation_Plan.md#cc-t006--add-persistent-import-jobs-and-recovery</x:v>
      </x:c>
      <x:c r="R29" s="8" t="n">
        <x:v>46275.51530535879</x:v>
      </x:c>
      <x:c r="S29" s="8" t="str"/>
      <x:c r="T29" s="8" t="str"/>
      <x:c r="U29" s="7" t="str"/>
      <x:c r="V29" s="7" t="str"/>
      <x:c r="W29" s="7" t="str"/>
      <x:c r="X29" s="7" t="str"/>
    </x:row>
    <x:row r="30" ht="84" customHeight="1">
      <x:c r="A30" s="3" t="str">
        <x:v>CC-T007-S01</x:v>
      </x:c>
      <x:c r="B30" s="3" t="str">
        <x:v>CC-T007</x:v>
      </x:c>
      <x:c r="C30" s="3" t="n">
        <x:v>1</x:v>
      </x:c>
      <x:c r="D30" s="3" t="str">
        <x:v>Establish regression and acceptance fixtures for adapt pdf extraction and complete-context chunking.
1. Multi-page tables retain header and unit context.
2. Warning pages and replacement instructions are not silently discarded.
3. Poor OCR produces review work.
4. Source hashes and page counts reconcile with the import manifest.</x:v>
      </x:c>
      <x:c r="E30" s="7" t="str">
        <x:v>Not started</x:v>
      </x:c>
      <x:c r="F30" s="7" t="str"/>
      <x:c r="G30" s="3" t="str">
        <x:v>python -m pytest -q tests/acceptance/test_manual_ingestion.py
Confirm the relevant missing or incorrect behavior for the task's acceptance criteria; record the actual failing behavior and command result.</x:v>
      </x:c>
      <x:c r="H30" s="3" t="str">
        <x:v>Local development</x:v>
      </x:c>
      <x:c r="I30" s="7" t="str"/>
      <x:c r="J30" s="3" t="str">
        <x:v>Engineering</x:v>
      </x:c>
      <x:c r="K30" s="3" t="str">
        <x:v>Initial</x:v>
      </x:c>
      <x:c r="L30" s="3" t="str">
        <x:v>[]</x:v>
      </x:c>
      <x:c r="M30" s="3" t="str">
        <x:v>[]</x:v>
      </x:c>
      <x:c r="N30" s="3" t="str">
        <x:v>["CC-E029"]</x:v>
      </x:c>
      <x:c r="O30" s="3" t="str">
        <x:v>Fixtures cover these expected behaviors and demonstrate the relevant baseline gap:
Multi-page tables retain header and unit context.
Warning pages and replacement instructions are not silently discarded.
Poor OCR produces review work.
Source hashes and page counts reconcile with the import manifest.</x:v>
      </x:c>
      <x:c r="P30" s="3" t="str">
        <x:v>["tests/acceptance/test_manual_ingestion.py"]</x:v>
      </x:c>
      <x:c r="Q30" s="3" t="str">
        <x:v>CC_Workshop_Implementation_Plan.md#cc-t007--adapt-pdf-extraction-and-complete-context-chunking</x:v>
      </x:c>
      <x:c r="R30" s="8" t="n">
        <x:v>46275.51530535879</x:v>
      </x:c>
      <x:c r="S30" s="8" t="str"/>
      <x:c r="T30" s="8" t="str"/>
      <x:c r="U30" s="7" t="str"/>
      <x:c r="V30" s="7" t="str"/>
      <x:c r="W30" s="7" t="str"/>
      <x:c r="X30" s="7" t="str"/>
    </x:row>
    <x:row r="31" ht="96" customHeight="1">
      <x:c r="A31" s="3" t="str">
        <x:v>CC-T007-S02</x:v>
      </x:c>
      <x:c r="B31" s="3" t="str">
        <x:v>CC-T007</x:v>
      </x:c>
      <x:c r="C31" s="3" t="n">
        <x:v>2</x:v>
      </x:c>
      <x:c r="D31" s="3" t="str">
        <x:v>Implement adapt pdf extraction and complete-context chunking.
1. Reuse suitable existing manual extraction and review utilities.
2. Preserve warnings, headings, units, footnotes and cross-references.
3. Associate chunks with parent sections and procedure context.
4. Add OCR quality and empty-page review rules.
5. Keep incomplete historical dataset records quarantined until reconciled.</x:v>
      </x:c>
      <x:c r="E31" s="7" t="str">
        <x:v>Not started</x:v>
      </x:c>
      <x:c r="F31" s="7" t="str"/>
      <x:c r="G31" s="3" t="str">
        <x:v>Implementation covers the task-specific behavior; no claim of verification is made until S03.</x:v>
      </x:c>
      <x:c r="H31" s="3" t="str">
        <x:v>Local development</x:v>
      </x:c>
      <x:c r="I31" s="7" t="str"/>
      <x:c r="J31" s="3" t="str">
        <x:v>Engineering</x:v>
      </x:c>
      <x:c r="K31" s="3" t="str">
        <x:v>Initial</x:v>
      </x:c>
      <x:c r="L31" s="3" t="str">
        <x:v>["CC-T007-S01"]</x:v>
      </x:c>
      <x:c r="M31" s="3" t="str">
        <x:v>[]</x:v>
      </x:c>
      <x:c r="N31" s="3" t="str">
        <x:v>["CC-E030"]</x:v>
      </x:c>
      <x:c r="O31" s="3" t="str">
        <x:v>Reuse suitable existing manual extraction and review utilities.
Preserve warnings, headings, units, footnotes and cross-references.
Associate chunks with parent sections and procedure context.
Add OCR quality and empty-page review rules.
Keep incomplete historical dataset records quarantined until reconciled.</x:v>
      </x:c>
      <x:c r="P31" s="3" t="str">
        <x:v>[]</x:v>
      </x:c>
      <x:c r="Q31" s="3" t="str">
        <x:v>CC_Workshop_Implementation_Plan.md#cc-t007--adapt-pdf-extraction-and-complete-context-chunking</x:v>
      </x:c>
      <x:c r="R31" s="8" t="n">
        <x:v>46275.51530535879</x:v>
      </x:c>
      <x:c r="S31" s="8" t="str"/>
      <x:c r="T31" s="8" t="str"/>
      <x:c r="U31" s="7" t="str"/>
      <x:c r="V31" s="7" t="str"/>
      <x:c r="W31" s="7" t="str"/>
      <x:c r="X31" s="7" t="str"/>
    </x:row>
    <x:row r="32" ht="84" customHeight="1">
      <x:c r="A32" s="3" t="str">
        <x:v>CC-T007-S03</x:v>
      </x:c>
      <x:c r="B32" s="3" t="str">
        <x:v>CC-T007</x:v>
      </x:c>
      <x:c r="C32" s="3" t="n">
        <x:v>3</x:v>
      </x:c>
      <x:c r="D32" s="3" t="str">
        <x:v>Verify adapt pdf extraction and complete-context chunking against every acceptance criterion.
1. Multi-page tables retain header and unit context.
2. Warning pages and replacement instructions are not silently discarded.
3. Poor OCR produces review work.
4. Source hashes and page counts reconcile with the import manifest.</x:v>
      </x:c>
      <x:c r="E32" s="7" t="str">
        <x:v>Not started</x:v>
      </x:c>
      <x:c r="F32" s="7" t="str"/>
      <x:c r="G32" s="3" t="str">
        <x:v>python -m pytest -q tests/acceptance/test_manual_ingestion.py
All applicable acceptance criteria pass; separately record manual-source, hardware or clean-installation observations when required.</x:v>
      </x:c>
      <x:c r="H32" s="3" t="str">
        <x:v>Local development</x:v>
      </x:c>
      <x:c r="I32" s="7" t="str"/>
      <x:c r="J32" s="3" t="str">
        <x:v>Engineering</x:v>
      </x:c>
      <x:c r="K32" s="3" t="str">
        <x:v>Initial</x:v>
      </x:c>
      <x:c r="L32" s="3" t="str">
        <x:v>["CC-T007-S02"]</x:v>
      </x:c>
      <x:c r="M32" s="3" t="str">
        <x:v>[]</x:v>
      </x:c>
      <x:c r="N32" s="3" t="str">
        <x:v>["CC-E031"]</x:v>
      </x:c>
      <x:c r="O32" s="3" t="str">
        <x:v>Multi-page tables retain header and unit context.
Warning pages and replacement instructions are not silently discarded.
Poor OCR produces review work.
Source hashes and page counts reconcile with the import manifest.</x:v>
      </x:c>
      <x:c r="P32" s="3" t="str">
        <x:v>["evidence/CC-T007/verification/"]</x:v>
      </x:c>
      <x:c r="Q32" s="3" t="str">
        <x:v>CC_Workshop_Implementation_Plan.md#cc-t007--adapt-pdf-extraction-and-complete-context-chunking</x:v>
      </x:c>
      <x:c r="R32" s="8" t="n">
        <x:v>46275.51530535879</x:v>
      </x:c>
      <x:c r="S32" s="8" t="str"/>
      <x:c r="T32" s="8" t="str"/>
      <x:c r="U32" s="7" t="str"/>
      <x:c r="V32" s="7" t="str"/>
      <x:c r="W32" s="7" t="str"/>
      <x:c r="X32" s="7" t="str"/>
    </x:row>
    <x:row r="33" ht="54" customHeight="1">
      <x:c r="A33" s="3" t="str">
        <x:v>CC-T007-S04</x:v>
      </x:c>
      <x:c r="B33" s="3" t="str">
        <x:v>CC-T007</x:v>
      </x:c>
      <x:c r="C33" s="3" t="n">
        <x:v>4</x:v>
      </x:c>
      <x:c r="D33" s="3" t="str">
        <x:v>Review adapt pdf extraction and complete-context chunking, reconcile its evidence and handover, and record the commit if one is created.</x:v>
      </x:c>
      <x:c r="E33" s="7" t="str">
        <x:v>Not started</x:v>
      </x:c>
      <x:c r="F33" s="7" t="str"/>
      <x:c r="G33" s="3" t="str">
        <x:v>Independent review and all required evidence resolve task acceptance; tracker and handover agree. Record only an existing commit.</x:v>
      </x:c>
      <x:c r="H33" s="3" t="str">
        <x:v>Local development</x:v>
      </x:c>
      <x:c r="I33" s="7" t="str"/>
      <x:c r="J33" s="3" t="str">
        <x:v>Engineering</x:v>
      </x:c>
      <x:c r="K33" s="3" t="str">
        <x:v>Initial</x:v>
      </x:c>
      <x:c r="L33" s="3" t="str">
        <x:v>["CC-T007-S03"]</x:v>
      </x:c>
      <x:c r="M33" s="3" t="str">
        <x:v>[]</x:v>
      </x:c>
      <x:c r="N33" s="3" t="str">
        <x:v>["CC-E032"]</x:v>
      </x:c>
      <x:c r="O33" s="3" t="str">
        <x:v>Review findings resolved or explicitly recorded; evidence links valid; tracker consistent; commit field is blank or identifies an actual commit.</x:v>
      </x:c>
      <x:c r="P33" s="3" t="str">
        <x:v>["evidence/CC-T007/review/"]</x:v>
      </x:c>
      <x:c r="Q33" s="3" t="str">
        <x:v>CC_Workshop_Implementation_Plan.md#cc-t007--adapt-pdf-extraction-and-complete-context-chunking</x:v>
      </x:c>
      <x:c r="R33" s="8" t="n">
        <x:v>46275.51530535879</x:v>
      </x:c>
      <x:c r="S33" s="8" t="str"/>
      <x:c r="T33" s="8" t="str"/>
      <x:c r="U33" s="7" t="str"/>
      <x:c r="V33" s="7" t="str"/>
      <x:c r="W33" s="7" t="str"/>
      <x:c r="X33" s="7" t="str"/>
    </x:row>
    <x:row r="34" ht="84" customHeight="1">
      <x:c r="A34" s="3" t="str">
        <x:v>CC-T008-S01</x:v>
      </x:c>
      <x:c r="B34" s="3" t="str">
        <x:v>CC-T008</x:v>
      </x:c>
      <x:c r="C34" s="3" t="n">
        <x:v>1</x:v>
      </x:c>
      <x:c r="D34" s="3" t="str">
        <x:v>Establish regression and acceptance fixtures for preserve figures, legends and image provenance.
1. Every figure resolves to the correct original page.
2. A crop cannot substitute a figure from another source or revision.
3. Figure rotation and legend loss are detected in review fixtures.
4. Missing figures remain explicit.</x:v>
      </x:c>
      <x:c r="E34" s="7" t="str">
        <x:v>Not started</x:v>
      </x:c>
      <x:c r="F34" s="7" t="str"/>
      <x:c r="G34" s="3" t="str">
        <x:v>python -m pytest -q tests/acceptance/test_figure_provenance.py
Confirm the relevant missing or incorrect behavior for the task's acceptance criteria; record the actual failing behavior and command result.</x:v>
      </x:c>
      <x:c r="H34" s="3" t="str">
        <x:v>Local development</x:v>
      </x:c>
      <x:c r="I34" s="7" t="str"/>
      <x:c r="J34" s="3" t="str">
        <x:v>Engineering</x:v>
      </x:c>
      <x:c r="K34" s="3" t="str">
        <x:v>Initial</x:v>
      </x:c>
      <x:c r="L34" s="3" t="str">
        <x:v>[]</x:v>
      </x:c>
      <x:c r="M34" s="3" t="str">
        <x:v>[]</x:v>
      </x:c>
      <x:c r="N34" s="3" t="str">
        <x:v>["CC-E033"]</x:v>
      </x:c>
      <x:c r="O34" s="3" t="str">
        <x:v>Fixtures cover these expected behaviors and demonstrate the relevant baseline gap:
Every figure resolves to the correct original page.
A crop cannot substitute a figure from another source or revision.
Figure rotation and legend loss are detected in review fixtures.
Missing figures remain explicit.</x:v>
      </x:c>
      <x:c r="P34" s="3" t="str">
        <x:v>["tests/acceptance/test_figure_provenance.py"]</x:v>
      </x:c>
      <x:c r="Q34" s="3" t="str">
        <x:v>CC_Workshop_Implementation_Plan.md#cc-t008--preserve-figures-legends-and-image-provenance</x:v>
      </x:c>
      <x:c r="R34" s="8" t="n">
        <x:v>46275.51530535879</x:v>
      </x:c>
      <x:c r="S34" s="8" t="str"/>
      <x:c r="T34" s="8" t="str"/>
      <x:c r="U34" s="7" t="str"/>
      <x:c r="V34" s="7" t="str"/>
      <x:c r="W34" s="7" t="str"/>
      <x:c r="X34" s="7" t="str"/>
    </x:row>
    <x:row r="35" ht="72" customHeight="1">
      <x:c r="A35" s="3" t="str">
        <x:v>CC-T008-S02</x:v>
      </x:c>
      <x:c r="B35" s="3" t="str">
        <x:v>CC-T008</x:v>
      </x:c>
      <x:c r="C35" s="3" t="n">
        <x:v>2</x:v>
      </x:c>
      <x:c r="D35" s="3" t="str">
        <x:v>Implement preserve figures, legends and image provenance.
1. Register page renders and figure crops.
2. Record coordinates, image hashes, captions and legends.
3. Preserve orientation.
4. Track whether a crop is adequate for its intended procedure step.</x:v>
      </x:c>
      <x:c r="E35" s="7" t="str">
        <x:v>Not started</x:v>
      </x:c>
      <x:c r="F35" s="7" t="str"/>
      <x:c r="G35" s="3" t="str">
        <x:v>Implementation covers the task-specific behavior; no claim of verification is made until S03.</x:v>
      </x:c>
      <x:c r="H35" s="3" t="str">
        <x:v>Local development</x:v>
      </x:c>
      <x:c r="I35" s="7" t="str"/>
      <x:c r="J35" s="3" t="str">
        <x:v>Engineering</x:v>
      </x:c>
      <x:c r="K35" s="3" t="str">
        <x:v>Initial</x:v>
      </x:c>
      <x:c r="L35" s="3" t="str">
        <x:v>["CC-T008-S01"]</x:v>
      </x:c>
      <x:c r="M35" s="3" t="str">
        <x:v>[]</x:v>
      </x:c>
      <x:c r="N35" s="3" t="str">
        <x:v>["CC-E034"]</x:v>
      </x:c>
      <x:c r="O35" s="3" t="str">
        <x:v>Register page renders and figure crops.
Record coordinates, image hashes, captions and legends.
Preserve orientation.
Track whether a crop is adequate for its intended procedure step.</x:v>
      </x:c>
      <x:c r="P35" s="3" t="str">
        <x:v>[]</x:v>
      </x:c>
      <x:c r="Q35" s="3" t="str">
        <x:v>CC_Workshop_Implementation_Plan.md#cc-t008--preserve-figures-legends-and-image-provenance</x:v>
      </x:c>
      <x:c r="R35" s="8" t="n">
        <x:v>46275.51530535879</x:v>
      </x:c>
      <x:c r="S35" s="8" t="str"/>
      <x:c r="T35" s="8" t="str"/>
      <x:c r="U35" s="7" t="str"/>
      <x:c r="V35" s="7" t="str"/>
      <x:c r="W35" s="7" t="str"/>
      <x:c r="X35" s="7" t="str"/>
    </x:row>
    <x:row r="36" ht="84" customHeight="1">
      <x:c r="A36" s="3" t="str">
        <x:v>CC-T008-S03</x:v>
      </x:c>
      <x:c r="B36" s="3" t="str">
        <x:v>CC-T008</x:v>
      </x:c>
      <x:c r="C36" s="3" t="n">
        <x:v>3</x:v>
      </x:c>
      <x:c r="D36" s="3" t="str">
        <x:v>Verify preserve figures, legends and image provenance against every acceptance criterion.
1. Every figure resolves to the correct original page.
2. A crop cannot substitute a figure from another source or revision.
3. Figure rotation and legend loss are detected in review fixtures.
4. Missing figures remain explicit.</x:v>
      </x:c>
      <x:c r="E36" s="7" t="str">
        <x:v>Not started</x:v>
      </x:c>
      <x:c r="F36" s="7" t="str"/>
      <x:c r="G36" s="3" t="str">
        <x:v>python -m pytest -q tests/acceptance/test_figure_provenance.py
All applicable acceptance criteria pass; separately record manual-source, hardware or clean-installation observations when required.</x:v>
      </x:c>
      <x:c r="H36" s="3" t="str">
        <x:v>Local development</x:v>
      </x:c>
      <x:c r="I36" s="7" t="str"/>
      <x:c r="J36" s="3" t="str">
        <x:v>Engineering</x:v>
      </x:c>
      <x:c r="K36" s="3" t="str">
        <x:v>Initial</x:v>
      </x:c>
      <x:c r="L36" s="3" t="str">
        <x:v>["CC-T008-S02"]</x:v>
      </x:c>
      <x:c r="M36" s="3" t="str">
        <x:v>[]</x:v>
      </x:c>
      <x:c r="N36" s="3" t="str">
        <x:v>["CC-E035"]</x:v>
      </x:c>
      <x:c r="O36" s="3" t="str">
        <x:v>Every figure resolves to the correct original page.
A crop cannot substitute a figure from another source or revision.
Figure rotation and legend loss are detected in review fixtures.
Missing figures remain explicit.</x:v>
      </x:c>
      <x:c r="P36" s="3" t="str">
        <x:v>["evidence/CC-T008/verification/"]</x:v>
      </x:c>
      <x:c r="Q36" s="3" t="str">
        <x:v>CC_Workshop_Implementation_Plan.md#cc-t008--preserve-figures-legends-and-image-provenance</x:v>
      </x:c>
      <x:c r="R36" s="8" t="n">
        <x:v>46275.51530535879</x:v>
      </x:c>
      <x:c r="S36" s="8" t="str"/>
      <x:c r="T36" s="8" t="str"/>
      <x:c r="U36" s="7" t="str"/>
      <x:c r="V36" s="7" t="str"/>
      <x:c r="W36" s="7" t="str"/>
      <x:c r="X36" s="7" t="str"/>
    </x:row>
    <x:row r="37" ht="54" customHeight="1">
      <x:c r="A37" s="3" t="str">
        <x:v>CC-T008-S04</x:v>
      </x:c>
      <x:c r="B37" s="3" t="str">
        <x:v>CC-T008</x:v>
      </x:c>
      <x:c r="C37" s="3" t="n">
        <x:v>4</x:v>
      </x:c>
      <x:c r="D37" s="3" t="str">
        <x:v>Review preserve figures, legends and image provenance, reconcile its evidence and handover, and record the commit if one is created.</x:v>
      </x:c>
      <x:c r="E37" s="7" t="str">
        <x:v>Not started</x:v>
      </x:c>
      <x:c r="F37" s="7" t="str"/>
      <x:c r="G37" s="3" t="str">
        <x:v>Independent review and all required evidence resolve task acceptance; tracker and handover agree. Record only an existing commit.</x:v>
      </x:c>
      <x:c r="H37" s="3" t="str">
        <x:v>Local development</x:v>
      </x:c>
      <x:c r="I37" s="7" t="str"/>
      <x:c r="J37" s="3" t="str">
        <x:v>Engineering</x:v>
      </x:c>
      <x:c r="K37" s="3" t="str">
        <x:v>Initial</x:v>
      </x:c>
      <x:c r="L37" s="3" t="str">
        <x:v>["CC-T008-S03"]</x:v>
      </x:c>
      <x:c r="M37" s="3" t="str">
        <x:v>[]</x:v>
      </x:c>
      <x:c r="N37" s="3" t="str">
        <x:v>["CC-E036"]</x:v>
      </x:c>
      <x:c r="O37" s="3" t="str">
        <x:v>Review findings resolved or explicitly recorded; evidence links valid; tracker consistent; commit field is blank or identifies an actual commit.</x:v>
      </x:c>
      <x:c r="P37" s="3" t="str">
        <x:v>["evidence/CC-T008/review/"]</x:v>
      </x:c>
      <x:c r="Q37" s="3" t="str">
        <x:v>CC_Workshop_Implementation_Plan.md#cc-t008--preserve-figures-legends-and-image-provenance</x:v>
      </x:c>
      <x:c r="R37" s="8" t="n">
        <x:v>46275.51530535879</x:v>
      </x:c>
      <x:c r="S37" s="8" t="str"/>
      <x:c r="T37" s="8" t="str"/>
      <x:c r="U37" s="7" t="str"/>
      <x:c r="V37" s="7" t="str"/>
      <x:c r="W37" s="7" t="str"/>
      <x:c r="X37" s="7" t="str"/>
    </x:row>
    <x:row r="38" ht="96" customHeight="1">
      <x:c r="A38" s="3" t="str">
        <x:v>CC-T009-S01</x:v>
      </x:c>
      <x:c r="B38" s="3" t="str">
        <x:v>CC-T009</x:v>
      </x:c>
      <x:c r="C38" s="3" t="n">
        <x:v>1</x:v>
      </x:c>
      <x:c r="D38" s="3" t="str">
        <x:v>Establish regression and acceptance fixtures for implement the inference provider contract.
1. All enabled adapters pass the same applicable conformance tests.
2. Unsupported vision is reported before an image request is submitted.
3. Invalid structured responses cannot enter the answer renderer.
4. Cancellation reaches the transport.
5. Credentials and image contents are absent from ordinary logs.</x:v>
      </x:c>
      <x:c r="E38" s="7" t="str">
        <x:v>Done</x:v>
      </x:c>
      <x:c r="F38" s="7" t="str">
        <x:v>Coordinator</x:v>
      </x:c>
      <x:c r="G38" s="3" t="str">
        <x:v>python -m pytest -q tests/acceptance/test_provider_conformance.py
Confirm the relevant missing or incorrect behavior for the task's acceptance criteria; record the actual failing behavior and command result.</x:v>
      </x:c>
      <x:c r="H38" s="3" t="str">
        <x:v>Local development</x:v>
      </x:c>
      <x:c r="I38" s="7" t="str">
        <x:v>User resumed implementation on 2026-09-12. Preserve earlier failed evidence and establish current regression baseline.</x:v>
      </x:c>
      <x:c r="J38" s="3" t="str">
        <x:v>Engineering</x:v>
      </x:c>
      <x:c r="K38" s="3" t="str">
        <x:v>Initial</x:v>
      </x:c>
      <x:c r="L38" s="3" t="str">
        <x:v>[]</x:v>
      </x:c>
      <x:c r="M38" s="3" t="str">
        <x:v>[]</x:v>
      </x:c>
      <x:c r="N38" s="3" t="str">
        <x:v>["CC-E037"]</x:v>
      </x:c>
      <x:c r="O38" s="3" t="str">
        <x:v>Fixtures cover these expected behaviors and demonstrate the relevant baseline gap:
All enabled adapters pass the same applicable conformance tests.
Unsupported vision is reported before an image request is submitted.
Invalid structured responses cannot enter the answer renderer.
Cancellation reaches the transport.
Credentials and image contents are absent from ordinary logs.</x:v>
      </x:c>
      <x:c r="P38" s="3" t="str">
        <x:v>["tests/acceptance/test_provider_conformance.py"]</x:v>
      </x:c>
      <x:c r="Q38" s="3" t="str">
        <x:v>CC_Workshop_Implementation_Plan.md#cc-t009--implement-the-inference-provider-contract</x:v>
      </x:c>
      <x:c r="R38" s="8" t="n">
        <x:v>46279.50255953704</x:v>
      </x:c>
      <x:c r="S38" s="8" t="n">
        <x:v>46277.745404166664</x:v>
      </x:c>
      <x:c r="T38" s="8" t="n">
        <x:v>46277.97015940972</x:v>
      </x:c>
      <x:c r="U38" s="7" t="str">
        <x:v>CC-RUN-resume-direct-20260912</x:v>
      </x:c>
      <x:c r="V38" s="7" t="str">
        <x:v>Regression and acceptance coverage established for the resumed implementation path.</x:v>
      </x:c>
      <x:c r="W38" s="7" t="str">
        <x:v>CC-RUN-resume-direct-20260912</x:v>
      </x:c>
      <x:c r="X38" s="7" t="str">
        <x:v>933a39204a90ff60d26c96444de66dc379e31065</x:v>
      </x:c>
    </x:row>
    <x:row r="39" ht="96" customHeight="1">
      <x:c r="A39" s="3" t="str">
        <x:v>CC-T009-S02</x:v>
      </x:c>
      <x:c r="B39" s="3" t="str">
        <x:v>CC-T009</x:v>
      </x:c>
      <x:c r="C39" s="3" t="n">
        <x:v>2</x:v>
      </x:c>
      <x:c r="D39" s="3" t="str">
        <x:v>Implement implement the inference provider contract.
1. Implement the OpenAI-compatible transport subset.
2. Normalize provider errors.
3. Add text, image, embedding, streaming and cancellation capability checks.
4. Separate management APIs from inference transport.
5. Prevent cloud endpoints under the chosen network policy.</x:v>
      </x:c>
      <x:c r="E39" s="7" t="str">
        <x:v>Done</x:v>
      </x:c>
      <x:c r="F39" s="7" t="str">
        <x:v>Coordinator</x:v>
      </x:c>
      <x:c r="G39" s="3" t="str">
        <x:v>Implementation covers the task-specific behavior; no claim of verification is made until S03.</x:v>
      </x:c>
      <x:c r="H39" s="3" t="str">
        <x:v>Local development</x:v>
      </x:c>
      <x:c r="I39" s="7" t="str">
        <x:v>Do not duplicate the newer implementation; retain and complete it.</x:v>
      </x:c>
      <x:c r="J39" s="3" t="str">
        <x:v>Engineering</x:v>
      </x:c>
      <x:c r="K39" s="3" t="str">
        <x:v>Initial</x:v>
      </x:c>
      <x:c r="L39" s="3" t="str">
        <x:v>["CC-T009-S01"]</x:v>
      </x:c>
      <x:c r="M39" s="3" t="str">
        <x:v>[]</x:v>
      </x:c>
      <x:c r="N39" s="3" t="str">
        <x:v>["CC-E038"]</x:v>
      </x:c>
      <x:c r="O39" s="3" t="str">
        <x:v>Implement the OpenAI-compatible transport subset.
Normalize provider errors.
Add text, image, embedding, streaming and cancellation capability checks.
Separate management APIs from inference transport.
Prevent cloud endpoints under the chosen network policy.</x:v>
      </x:c>
      <x:c r="P39" s="3" t="str">
        <x:v>[]</x:v>
      </x:c>
      <x:c r="Q39" s="3" t="str">
        <x:v>CC_Workshop_Implementation_Plan.md#cc-t009--implement-the-inference-provider-contract</x:v>
      </x:c>
      <x:c r="R39" s="8" t="n">
        <x:v>46279.50255953704</x:v>
      </x:c>
      <x:c r="S39" s="8" t="str"/>
      <x:c r="T39" s="8" t="n">
        <x:v>46277.97015940972</x:v>
      </x:c>
      <x:c r="U39" s="7" t="str">
        <x:v>CC-RUN-resume-direct-20260912</x:v>
      </x:c>
      <x:c r="V39" s="7" t="str">
        <x:v>Implementation committed in source revision 933a39204a90ff60d26c96444de66dc379e31065.</x:v>
      </x:c>
      <x:c r="W39" s="7" t="str">
        <x:v>CC-RUN-resume-direct-20260912</x:v>
      </x:c>
      <x:c r="X39" s="7" t="str">
        <x:v>933a39204a90ff60d26c96444de66dc379e31065</x:v>
      </x:c>
    </x:row>
    <x:row r="40" ht="96" customHeight="1">
      <x:c r="A40" s="3" t="str">
        <x:v>CC-T009-S03</x:v>
      </x:c>
      <x:c r="B40" s="3" t="str">
        <x:v>CC-T009</x:v>
      </x:c>
      <x:c r="C40" s="3" t="n">
        <x:v>3</x:v>
      </x:c>
      <x:c r="D40" s="3" t="str">
        <x:v>Verify implement the inference provider contract against every acceptance criterion.
1. All enabled adapters pass the same applicable conformance tests.
2. Unsupported vision is reported before an image request is submitted.
3. Invalid structured responses cannot enter the answer renderer.
4. Cancellation reaches the transport.
5. Credentials and image contents are absent from ordinary logs.</x:v>
      </x:c>
      <x:c r="E40" s="7" t="str">
        <x:v>Done</x:v>
      </x:c>
      <x:c r="F40" s="7" t="str">
        <x:v>Coordinator</x:v>
      </x:c>
      <x:c r="G40" s="3" t="str">
        <x:v>python -m pytest -q tests/acceptance/test_provider_conformance.py
All applicable acceptance criteria pass; separately record manual-source, hardware or clean-installation observations when required.</x:v>
      </x:c>
      <x:c r="H40" s="3" t="str">
        <x:v>Local development</x:v>
      </x:c>
      <x:c r="I40" s="7" t="str">
        <x:v>Observed fixture pass is distinct from task gate completion.</x:v>
      </x:c>
      <x:c r="J40" s="3" t="str">
        <x:v>Engineering</x:v>
      </x:c>
      <x:c r="K40" s="3" t="str">
        <x:v>Initial</x:v>
      </x:c>
      <x:c r="L40" s="3" t="str">
        <x:v>["CC-T009-S02"]</x:v>
      </x:c>
      <x:c r="M40" s="3" t="str">
        <x:v>[]</x:v>
      </x:c>
      <x:c r="N40" s="3" t="str">
        <x:v>["CC-E039"]</x:v>
      </x:c>
      <x:c r="O40" s="3" t="str">
        <x:v>All enabled adapters pass the same applicable conformance tests.
Unsupported vision is reported before an image request is submitted.
Invalid structured responses cannot enter the answer renderer.
Cancellation reaches the transport.
Credentials and image contents are absent from ordinary logs.</x:v>
      </x:c>
      <x:c r="P40" s="3" t="str">
        <x:v>["evidence/CC-T009/verification/"]</x:v>
      </x:c>
      <x:c r="Q40" s="3" t="str">
        <x:v>CC_Workshop_Implementation_Plan.md#cc-t009--implement-the-inference-provider-contract</x:v>
      </x:c>
      <x:c r="R40" s="8" t="n">
        <x:v>46279.50255953704</x:v>
      </x:c>
      <x:c r="S40" s="8" t="str"/>
      <x:c r="T40" s="8" t="n">
        <x:v>46277.97015940972</x:v>
      </x:c>
      <x:c r="U40" s="7" t="str">
        <x:v>CC-RUN-resume-direct-20260912</x:v>
      </x:c>
      <x:c r="V40" s="7" t="str">
        <x:v>Focused verification passed; full suite also passed. Final review still open.</x:v>
      </x:c>
      <x:c r="W40" s="7" t="str">
        <x:v>CC-RUN-resume-direct-20260912</x:v>
      </x:c>
      <x:c r="X40" s="7" t="str">
        <x:v>933a39204a90ff60d26c96444de66dc379e31065</x:v>
      </x:c>
    </x:row>
    <x:row r="41" ht="54" customHeight="1">
      <x:c r="A41" s="3" t="str">
        <x:v>CC-T009-S04</x:v>
      </x:c>
      <x:c r="B41" s="3" t="str">
        <x:v>CC-T009</x:v>
      </x:c>
      <x:c r="C41" s="3" t="n">
        <x:v>4</x:v>
      </x:c>
      <x:c r="D41" s="3" t="str">
        <x:v>Review implement the inference provider contract, reconcile its evidence and handover, and record the commit if one is created.</x:v>
      </x:c>
      <x:c r="E41" s="7" t="str">
        <x:v>Done</x:v>
      </x:c>
      <x:c r="F41" s="7" t="str">
        <x:v>Coordinator</x:v>
      </x:c>
      <x:c r="G41" s="3" t="str">
        <x:v>Independent review and all required evidence resolve task acceptance; tracker and handover agree. Record only an existing commit.</x:v>
      </x:c>
      <x:c r="H41" s="3" t="str">
        <x:v>Local development</x:v>
      </x:c>
      <x:c r="I41" s="7" t="str"/>
      <x:c r="J41" s="3" t="str">
        <x:v>Engineering</x:v>
      </x:c>
      <x:c r="K41" s="3" t="str">
        <x:v>Initial</x:v>
      </x:c>
      <x:c r="L41" s="3" t="str">
        <x:v>["CC-T009-S03"]</x:v>
      </x:c>
      <x:c r="M41" s="3" t="str">
        <x:v>[]</x:v>
      </x:c>
      <x:c r="N41" s="3" t="str">
        <x:v>["CC-E040"]</x:v>
      </x:c>
      <x:c r="O41" s="3" t="str">
        <x:v>Review findings resolved or explicitly recorded; evidence links valid; tracker consistent; commit field is blank or identifies an actual commit.</x:v>
      </x:c>
      <x:c r="P41" s="3" t="str">
        <x:v>["evidence/CC-T009/review/"]</x:v>
      </x:c>
      <x:c r="Q41" s="3" t="str">
        <x:v>CC_Workshop_Implementation_Plan.md#cc-t009--implement-the-inference-provider-contract</x:v>
      </x:c>
      <x:c r="R41" s="8" t="n">
        <x:v>46279.50255953704</x:v>
      </x:c>
      <x:c r="S41" s="8" t="n">
        <x:v>46277.97015940972</x:v>
      </x:c>
      <x:c r="T41" s="8" t="n">
        <x:v>46279.506944444445</x:v>
      </x:c>
      <x:c r="U41" s="7" t="str">
        <x:v>CC-RUN-reviewer-fixes-20260914</x:v>
      </x:c>
      <x:c r="V41" s="7" t="str">
        <x:v>Independent reviewer findings were addressed, focused reviewer-fix verification passed, full suite passed, and tracker evidence was reconciled.</x:v>
      </x:c>
      <x:c r="W41" s="7" t="str">
        <x:v>CC-RUN-reviewer-fixes-20260914</x:v>
      </x:c>
      <x:c r="X41" s="7" t="str">
        <x:v>1e87202a7ed8923e270090aa87f22a4947a68bcc</x:v>
      </x:c>
    </x:row>
    <x:row r="42" ht="96" customHeight="1">
      <x:c r="A42" s="3" t="str">
        <x:v>CC-T010-S01</x:v>
      </x:c>
      <x:c r="B42" s="3" t="str">
        <x:v>CC-T010</x:v>
      </x:c>
      <x:c r="C42" s="3" t="n">
        <x:v>1</x:v>
      </x:c>
      <x:c r="D42" s="3" t="str">
        <x:v>Establish regression and acceptance fixtures for add model assets and hardware discovery.
1. Missing or mismatched projectors prevent vision activation.
2. Corrupt or partial model files are rejected.
3. Offline import requires no Hub connection.
4. The application reports actual detected resources without inferring them from model names.</x:v>
      </x:c>
      <x:c r="E42" s="7" t="str">
        <x:v>Not started</x:v>
      </x:c>
      <x:c r="F42" s="7" t="str"/>
      <x:c r="G42" s="3" t="str">
        <x:v>python -m pytest -q tests/acceptance/test_model_assets.py
Confirm the relevant missing or incorrect behavior for the task's acceptance criteria; record the actual failing behavior and command result.</x:v>
      </x:c>
      <x:c r="H42" s="3" t="str">
        <x:v>Local development</x:v>
      </x:c>
      <x:c r="I42" s="7" t="str"/>
      <x:c r="J42" s="3" t="str">
        <x:v>Engineering</x:v>
      </x:c>
      <x:c r="K42" s="3" t="str">
        <x:v>Initial</x:v>
      </x:c>
      <x:c r="L42" s="3" t="str">
        <x:v>[]</x:v>
      </x:c>
      <x:c r="M42" s="3" t="str">
        <x:v>[]</x:v>
      </x:c>
      <x:c r="N42" s="3" t="str">
        <x:v>["CC-E041"]</x:v>
      </x:c>
      <x:c r="O42" s="3" t="str">
        <x:v>Fixtures cover these expected behaviors and demonstrate the relevant baseline gap:
Missing or mismatched projectors prevent vision activation.
Corrupt or partial model files are rejected.
Offline import requires no Hub connection.
The application reports actual detected resources without inferring them from model names.</x:v>
      </x:c>
      <x:c r="P42" s="3" t="str">
        <x:v>["tests/acceptance/test_model_assets.py"]</x:v>
      </x:c>
      <x:c r="Q42" s="3" t="str">
        <x:v>CC_Workshop_Implementation_Plan.md#cc-t010--add-model-assets-and-hardware-discovery</x:v>
      </x:c>
      <x:c r="R42" s="8" t="n">
        <x:v>46275.51530535879</x:v>
      </x:c>
      <x:c r="S42" s="8" t="str"/>
      <x:c r="T42" s="8" t="str"/>
      <x:c r="U42" s="7" t="str"/>
      <x:c r="V42" s="7" t="str"/>
      <x:c r="W42" s="7" t="str"/>
      <x:c r="X42" s="7" t="str"/>
    </x:row>
    <x:row r="43" ht="84" customHeight="1">
      <x:c r="A43" s="3" t="str">
        <x:v>CC-T010-S02</x:v>
      </x:c>
      <x:c r="B43" s="3" t="str">
        <x:v>CC-T010</x:v>
      </x:c>
      <x:c r="C43" s="3" t="n">
        <x:v>2</x:v>
      </x:c>
      <x:c r="D43" s="3" t="str">
        <x:v>Implement add model assets and hardware discovery.
1. Add versioned model manifests.
2. Support explicit download and offline import.
3. Record hashes, revisions, licenses and required vision assets.
4. Discover usable devices through the selected runtime.
5. Define compact, single-GPU and multiple-GPU configuration profiles.</x:v>
      </x:c>
      <x:c r="E43" s="7" t="str">
        <x:v>In progress</x:v>
      </x:c>
      <x:c r="F43" s="7" t="str">
        <x:v>Coordinator</x:v>
      </x:c>
      <x:c r="G43" s="3" t="str">
        <x:v>Implementation covers the task-specific behavior; no claim of verification is made until S03.</x:v>
      </x:c>
      <x:c r="H43" s="3" t="str">
        <x:v>Local development</x:v>
      </x:c>
      <x:c r="I43" s="7" t="str">
        <x:v>Do not duplicate the newer implementation; retain and complete it.</x:v>
      </x:c>
      <x:c r="J43" s="3" t="str">
        <x:v>Engineering</x:v>
      </x:c>
      <x:c r="K43" s="3" t="str">
        <x:v>Initial</x:v>
      </x:c>
      <x:c r="L43" s="3" t="str">
        <x:v>["CC-T010-S01"]</x:v>
      </x:c>
      <x:c r="M43" s="3" t="str">
        <x:v>[]</x:v>
      </x:c>
      <x:c r="N43" s="3" t="str">
        <x:v>["CC-E042"]</x:v>
      </x:c>
      <x:c r="O43" s="3" t="str">
        <x:v>Add versioned model manifests.
Support explicit download and offline import.
Record hashes, revisions, licenses and required vision assets.
Discover usable devices through the selected runtime.
Define compact, single-GPU and multiple-GPU configuration profiles.</x:v>
      </x:c>
      <x:c r="P43" s="3" t="str">
        <x:v>[]</x:v>
      </x:c>
      <x:c r="Q43" s="3" t="str">
        <x:v>CC_Workshop_Implementation_Plan.md#cc-t010--add-model-assets-and-hardware-discovery</x:v>
      </x:c>
      <x:c r="R43" s="8" t="n">
        <x:v>46277.75175488426</x:v>
      </x:c>
      <x:c r="S43" s="8" t="str"/>
      <x:c r="T43" s="8" t="str"/>
      <x:c r="U43" s="7" t="str"/>
      <x:c r="V43" s="7" t="str">
        <x:v>Implementation exists in the reconciled remote checkpoint; being reviewed against complete task requirements.</x:v>
      </x:c>
      <x:c r="W43" s="7" t="str"/>
      <x:c r="X43" s="7" t="str">
        <x:v>d9d94ed854198b9c0252dcfdaf3b5afccb06c217</x:v>
      </x:c>
    </x:row>
    <x:row r="44" ht="96" customHeight="1">
      <x:c r="A44" s="3" t="str">
        <x:v>CC-T010-S03</x:v>
      </x:c>
      <x:c r="B44" s="3" t="str">
        <x:v>CC-T010</x:v>
      </x:c>
      <x:c r="C44" s="3" t="n">
        <x:v>3</x:v>
      </x:c>
      <x:c r="D44" s="3" t="str">
        <x:v>Verify add model assets and hardware discovery against every acceptance criterion.
1. Missing or mismatched projectors prevent vision activation.
2. Corrupt or partial model files are rejected.
3. Offline import requires no Hub connection.
4. The application reports actual detected resources without inferring them from model names.</x:v>
      </x:c>
      <x:c r="E44" s="7" t="str">
        <x:v>In progress</x:v>
      </x:c>
      <x:c r="F44" s="7" t="str">
        <x:v>Coordinator</x:v>
      </x:c>
      <x:c r="G44" s="3" t="str">
        <x:v>python -m pytest -q tests/acceptance/test_model_assets.py
All applicable acceptance criteria pass; separately record manual-source, hardware or clean-installation observations when required.</x:v>
      </x:c>
      <x:c r="H44" s="3" t="str">
        <x:v>Local development</x:v>
      </x:c>
      <x:c r="I44" s="7" t="str">
        <x:v>Observed fixture pass is distinct from task gate completion.</x:v>
      </x:c>
      <x:c r="J44" s="3" t="str">
        <x:v>Engineering</x:v>
      </x:c>
      <x:c r="K44" s="3" t="str">
        <x:v>Initial</x:v>
      </x:c>
      <x:c r="L44" s="3" t="str">
        <x:v>["CC-T010-S02"]</x:v>
      </x:c>
      <x:c r="M44" s="3" t="str">
        <x:v>[]</x:v>
      </x:c>
      <x:c r="N44" s="3" t="str">
        <x:v>["CC-E043"]</x:v>
      </x:c>
      <x:c r="O44" s="3" t="str">
        <x:v>Missing or mismatched projectors prevent vision activation.
Corrupt or partial model files are rejected.
Offline import requires no Hub connection.
The application reports actual detected resources without inferring them from model names.</x:v>
      </x:c>
      <x:c r="P44" s="3" t="str">
        <x:v>["evidence/CC-T010/verification/"]</x:v>
      </x:c>
      <x:c r="Q44" s="3" t="str">
        <x:v>CC_Workshop_Implementation_Plan.md#cc-t010--add-model-assets-and-hardware-discovery</x:v>
      </x:c>
      <x:c r="R44" s="8" t="n">
        <x:v>46279.50255953704</x:v>
      </x:c>
      <x:c r="S44" s="8" t="n">
        <x:v>46277.97015940972</x:v>
      </x:c>
      <x:c r="T44" s="8" t="str"/>
      <x:c r="U44" s="7" t="str">
        <x:v>CC-RUN-resume-direct-20260912</x:v>
      </x:c>
      <x:c r="V44" s="7" t="str">
        <x:v>Focused synthetic verification passed. Do not mark complete until real asset/runtime gates are satisfied where required.</x:v>
      </x:c>
      <x:c r="W44" s="7" t="str">
        <x:v>CC-RUN-resume-direct-20260912</x:v>
      </x:c>
      <x:c r="X44" s="7" t="str">
        <x:v>933a39204a90ff60d26c96444de66dc379e31065</x:v>
      </x:c>
    </x:row>
    <x:row r="45" ht="54" customHeight="1">
      <x:c r="A45" s="3" t="str">
        <x:v>CC-T010-S04</x:v>
      </x:c>
      <x:c r="B45" s="3" t="str">
        <x:v>CC-T010</x:v>
      </x:c>
      <x:c r="C45" s="3" t="n">
        <x:v>4</x:v>
      </x:c>
      <x:c r="D45" s="3" t="str">
        <x:v>Review add model assets and hardware discovery, reconcile its evidence and handover, and record the commit if one is created.</x:v>
      </x:c>
      <x:c r="E45" s="7" t="str">
        <x:v>Not started</x:v>
      </x:c>
      <x:c r="F45" s="7" t="str"/>
      <x:c r="G45" s="3" t="str">
        <x:v>Independent review and all required evidence resolve task acceptance; tracker and handover agree. Record only an existing commit.</x:v>
      </x:c>
      <x:c r="H45" s="3" t="str">
        <x:v>Local development</x:v>
      </x:c>
      <x:c r="I45" s="7" t="str"/>
      <x:c r="J45" s="3" t="str">
        <x:v>Engineering</x:v>
      </x:c>
      <x:c r="K45" s="3" t="str">
        <x:v>Initial</x:v>
      </x:c>
      <x:c r="L45" s="3" t="str">
        <x:v>["CC-T010-S03"]</x:v>
      </x:c>
      <x:c r="M45" s="3" t="str">
        <x:v>[]</x:v>
      </x:c>
      <x:c r="N45" s="3" t="str">
        <x:v>["CC-E044"]</x:v>
      </x:c>
      <x:c r="O45" s="3" t="str">
        <x:v>Review findings resolved or explicitly recorded; evidence links valid; tracker consistent; commit field is blank or identifies an actual commit.</x:v>
      </x:c>
      <x:c r="P45" s="3" t="str">
        <x:v>["evidence/CC-T010/review/"]</x:v>
      </x:c>
      <x:c r="Q45" s="3" t="str">
        <x:v>CC_Workshop_Implementation_Plan.md#cc-t010--add-model-assets-and-hardware-discovery</x:v>
      </x:c>
      <x:c r="R45" s="8" t="n">
        <x:v>46275.51530535879</x:v>
      </x:c>
      <x:c r="S45" s="8" t="str"/>
      <x:c r="T45" s="8" t="str"/>
      <x:c r="U45" s="7" t="str"/>
      <x:c r="V45" s="7" t="str"/>
      <x:c r="W45" s="7" t="str"/>
      <x:c r="X45" s="7" t="str"/>
    </x:row>
    <x:row r="46" ht="96" customHeight="1">
      <x:c r="A46" s="3" t="str">
        <x:v>CC-T011-S01</x:v>
      </x:c>
      <x:c r="B46" s="3" t="str">
        <x:v>CC-T011</x:v>
      </x:c>
      <x:c r="C46" s="3" t="n">
        <x:v>1</x:v>
      </x:c>
      <x:c r="D46" s="3" t="str">
        <x:v>Establish regression and acceptance fixtures for supervise bundled llama.cpp.
1. Fresh launch does not require Ollama or a separately installed Python.
2. An unrelated process is never terminated.
3. A child crash produces a recoverable error.
4. Closing the application follows the selected shutdown policy.
5. Repeated launches do not create orphaned model processes.</x:v>
      </x:c>
      <x:c r="E46" s="7" t="str">
        <x:v>Not started</x:v>
      </x:c>
      <x:c r="F46" s="7" t="str"/>
      <x:c r="G46" s="3" t="str">
        <x:v>python -m pytest -q tests/acceptance/test_sidecar_lifecycle.py
Confirm the relevant missing or incorrect behavior for the task's acceptance criteria; record the actual failing behavior and command result.</x:v>
      </x:c>
      <x:c r="H46" s="3" t="str">
        <x:v>Local development; actual supported hardware for hardware gates</x:v>
      </x:c>
      <x:c r="I46" s="7" t="str"/>
      <x:c r="J46" s="3" t="str">
        <x:v>Engineering</x:v>
      </x:c>
      <x:c r="K46" s="3" t="str">
        <x:v>Initial</x:v>
      </x:c>
      <x:c r="L46" s="3" t="str">
        <x:v>[]</x:v>
      </x:c>
      <x:c r="M46" s="3" t="str">
        <x:v>[]</x:v>
      </x:c>
      <x:c r="N46" s="3" t="str">
        <x:v>["CC-E045"]</x:v>
      </x:c>
      <x:c r="O46" s="3" t="str">
        <x:v>Fixtures cover these expected behaviors and demonstrate the relevant baseline gap:
Fresh launch does not require Ollama or a separately installed Python.
An unrelated process is never terminated.
A child crash produces a recoverable error.
Closing the application follows the selected shutdown policy.
Repeated launches do not create orphaned model processes.</x:v>
      </x:c>
      <x:c r="P46" s="3" t="str">
        <x:v>["tests/acceptance/test_sidecar_lifecycle.py"]</x:v>
      </x:c>
      <x:c r="Q46" s="3" t="str">
        <x:v>CC_Workshop_Implementation_Plan.md#cc-t011--supervise-bundled-llamacpp</x:v>
      </x:c>
      <x:c r="R46" s="8" t="n">
        <x:v>46275.51530535879</x:v>
      </x:c>
      <x:c r="S46" s="8" t="str"/>
      <x:c r="T46" s="8" t="str"/>
      <x:c r="U46" s="7" t="str"/>
      <x:c r="V46" s="7" t="str"/>
      <x:c r="W46" s="7" t="str"/>
      <x:c r="X46" s="7" t="str"/>
    </x:row>
    <x:row r="47" ht="96" customHeight="1">
      <x:c r="A47" s="3" t="str">
        <x:v>CC-T011-S02</x:v>
      </x:c>
      <x:c r="B47" s="3" t="str">
        <x:v>CC-T011</x:v>
      </x:c>
      <x:c r="C47" s="3" t="n">
        <x:v>2</x:v>
      </x:c>
      <x:c r="D47" s="3" t="str">
        <x:v>Implement supervise bundled llama.cpp.
1. Bundle a pinned runtime and required libraries.
2. Start hidden child processes.
3. Verify readiness and model identity.
4. Track process ownership.
5. Stop owned children cleanly.
6. Handle crashes, port conflicts and failed loads.</x:v>
      </x:c>
      <x:c r="E47" s="7" t="str">
        <x:v>In progress</x:v>
      </x:c>
      <x:c r="F47" s="7" t="str">
        <x:v>Coordinator</x:v>
      </x:c>
      <x:c r="G47" s="3" t="str">
        <x:v>Implementation covers the task-specific behavior; no claim of verification is made until S03.</x:v>
      </x:c>
      <x:c r="H47" s="3" t="str">
        <x:v>Local development; actual supported hardware for hardware gates</x:v>
      </x:c>
      <x:c r="I47" s="7" t="str">
        <x:v>Do not duplicate the newer implementation; retain and complete it.</x:v>
      </x:c>
      <x:c r="J47" s="3" t="str">
        <x:v>Engineering</x:v>
      </x:c>
      <x:c r="K47" s="3" t="str">
        <x:v>Initial</x:v>
      </x:c>
      <x:c r="L47" s="3" t="str">
        <x:v>["CC-T011-S01"]</x:v>
      </x:c>
      <x:c r="M47" s="3" t="str">
        <x:v>[]</x:v>
      </x:c>
      <x:c r="N47" s="3" t="str">
        <x:v>["CC-E046"]</x:v>
      </x:c>
      <x:c r="O47" s="3" t="str">
        <x:v>Bundle a pinned runtime and required libraries.
Start hidden child processes.
Verify readiness and model identity.
Track process ownership.
Stop owned children cleanly.
Handle crashes, port conflicts and failed loads.</x:v>
      </x:c>
      <x:c r="P47" s="3" t="str">
        <x:v>[]</x:v>
      </x:c>
      <x:c r="Q47" s="3" t="str">
        <x:v>CC_Workshop_Implementation_Plan.md#cc-t011--supervise-bundled-llamacpp</x:v>
      </x:c>
      <x:c r="R47" s="8" t="n">
        <x:v>46277.75175488426</x:v>
      </x:c>
      <x:c r="S47" s="8" t="str"/>
      <x:c r="T47" s="8" t="str"/>
      <x:c r="U47" s="7" t="str"/>
      <x:c r="V47" s="7" t="str">
        <x:v>Implementation exists in the reconciled remote checkpoint; being reviewed against complete task requirements.</x:v>
      </x:c>
      <x:c r="W47" s="7" t="str"/>
      <x:c r="X47" s="7" t="str">
        <x:v>d9d94ed854198b9c0252dcfdaf3b5afccb06c217</x:v>
      </x:c>
    </x:row>
    <x:row r="48" ht="84" customHeight="1">
      <x:c r="A48" s="3" t="str">
        <x:v>CC-T011-S03</x:v>
      </x:c>
      <x:c r="B48" s="3" t="str">
        <x:v>CC-T011</x:v>
      </x:c>
      <x:c r="C48" s="3" t="n">
        <x:v>3</x:v>
      </x:c>
      <x:c r="D48" s="3" t="str">
        <x:v>Verify supervise bundled llama.cpp against every acceptance criterion.
1. Fresh launch does not require Ollama or a separately installed Python.
2. An unrelated process is never terminated.
3. A child crash produces a recoverable error.
4. Closing the application follows the selected shutdown policy.
5. Repeated launches do not create orphaned model processes.</x:v>
      </x:c>
      <x:c r="E48" s="7" t="str">
        <x:v>In progress</x:v>
      </x:c>
      <x:c r="F48" s="7" t="str">
        <x:v>Coordinator</x:v>
      </x:c>
      <x:c r="G48" s="3" t="str">
        <x:v>python -m pytest -q tests/acceptance/test_sidecar_lifecycle.py
All applicable acceptance criteria pass; separately record manual-source, hardware or clean-installation observations when required.</x:v>
      </x:c>
      <x:c r="H48" s="3" t="str">
        <x:v>Local development; actual supported hardware for hardware gates</x:v>
      </x:c>
      <x:c r="I48" s="7" t="str">
        <x:v>Observed fixture pass is distinct from task gate completion.</x:v>
      </x:c>
      <x:c r="J48" s="3" t="str">
        <x:v>Engineering</x:v>
      </x:c>
      <x:c r="K48" s="3" t="str">
        <x:v>Initial</x:v>
      </x:c>
      <x:c r="L48" s="3" t="str">
        <x:v>["CC-T011-S02"]</x:v>
      </x:c>
      <x:c r="M48" s="3" t="str">
        <x:v>[]</x:v>
      </x:c>
      <x:c r="N48" s="3" t="str">
        <x:v>["CC-E047"]</x:v>
      </x:c>
      <x:c r="O48" s="3" t="str">
        <x:v>Fresh launch does not require Ollama or a separately installed Python.
An unrelated process is never terminated.
A child crash produces a recoverable error.
Closing the application follows the selected shutdown policy.
Repeated launches do not create orphaned model processes.</x:v>
      </x:c>
      <x:c r="P48" s="3" t="str">
        <x:v>["evidence/CC-T011/verification/"]</x:v>
      </x:c>
      <x:c r="Q48" s="3" t="str">
        <x:v>CC_Workshop_Implementation_Plan.md#cc-t011--supervise-bundled-llamacpp</x:v>
      </x:c>
      <x:c r="R48" s="8" t="n">
        <x:v>46279.50255953704</x:v>
      </x:c>
      <x:c r="S48" s="8" t="n">
        <x:v>46277.97015940972</x:v>
      </x:c>
      <x:c r="T48" s="8" t="str"/>
      <x:c r="U48" s="7" t="str">
        <x:v>CC-RUN-resume-direct-20260912</x:v>
      </x:c>
      <x:c r="V48" s="7" t="str">
        <x:v>Focused synthetic verification passed. Do not mark complete until real asset/runtime gates are satisfied where required.</x:v>
      </x:c>
      <x:c r="W48" s="7" t="str">
        <x:v>CC-RUN-resume-direct-20260912</x:v>
      </x:c>
      <x:c r="X48" s="7" t="str">
        <x:v>933a39204a90ff60d26c96444de66dc379e31065</x:v>
      </x:c>
    </x:row>
    <x:row r="49" ht="54" customHeight="1">
      <x:c r="A49" s="3" t="str">
        <x:v>CC-T011-S04</x:v>
      </x:c>
      <x:c r="B49" s="3" t="str">
        <x:v>CC-T011</x:v>
      </x:c>
      <x:c r="C49" s="3" t="n">
        <x:v>4</x:v>
      </x:c>
      <x:c r="D49" s="3" t="str">
        <x:v>Review supervise bundled llama.cpp, reconcile its evidence and handover, and record the commit if one is created.</x:v>
      </x:c>
      <x:c r="E49" s="7" t="str">
        <x:v>Not started</x:v>
      </x:c>
      <x:c r="F49" s="7" t="str"/>
      <x:c r="G49" s="3" t="str">
        <x:v>Independent review and all required evidence resolve task acceptance; tracker and handover agree. Record only an existing commit.</x:v>
      </x:c>
      <x:c r="H49" s="3" t="str">
        <x:v>Local development; actual supported hardware for hardware gates</x:v>
      </x:c>
      <x:c r="I49" s="7" t="str"/>
      <x:c r="J49" s="3" t="str">
        <x:v>Engineering</x:v>
      </x:c>
      <x:c r="K49" s="3" t="str">
        <x:v>Initial</x:v>
      </x:c>
      <x:c r="L49" s="3" t="str">
        <x:v>["CC-T011-S03"]</x:v>
      </x:c>
      <x:c r="M49" s="3" t="str">
        <x:v>[]</x:v>
      </x:c>
      <x:c r="N49" s="3" t="str">
        <x:v>["CC-E048"]</x:v>
      </x:c>
      <x:c r="O49" s="3" t="str">
        <x:v>Review findings resolved or explicitly recorded; evidence links valid; tracker consistent; commit field is blank or identifies an actual commit.</x:v>
      </x:c>
      <x:c r="P49" s="3" t="str">
        <x:v>["evidence/CC-T011/review/"]</x:v>
      </x:c>
      <x:c r="Q49" s="3" t="str">
        <x:v>CC_Workshop_Implementation_Plan.md#cc-t011--supervise-bundled-llamacpp</x:v>
      </x:c>
      <x:c r="R49" s="8" t="n">
        <x:v>46275.51530535879</x:v>
      </x:c>
      <x:c r="S49" s="8" t="str"/>
      <x:c r="T49" s="8" t="str"/>
      <x:c r="U49" s="7" t="str"/>
      <x:c r="V49" s="7" t="str"/>
      <x:c r="W49" s="7" t="str"/>
      <x:c r="X49" s="7" t="str"/>
    </x:row>
    <x:row r="50" ht="96" customHeight="1">
      <x:c r="A50" s="3" t="str">
        <x:v>CC-T012-S01</x:v>
      </x:c>
      <x:c r="B50" s="3" t="str">
        <x:v>CC-T012</x:v>
      </x:c>
      <x:c r="C50" s="3" t="n">
        <x:v>1</x:v>
      </x:c>
      <x:c r="D50" s="3" t="str">
        <x:v>Establish regression and acceptance fixtures for add hardware controls and alternative local endpoints.
1. Invalid settings do not replace a working configuration.
2. Quantized cache and split-mode restrictions match the pinned build.
3. External generation mode skips its generation sidecar.
4. Local embeddings remain available when only generation is external.
5. Public or redirected endpoints are rejected.</x:v>
      </x:c>
      <x:c r="E50" s="7" t="str">
        <x:v>Not started</x:v>
      </x:c>
      <x:c r="F50" s="7" t="str"/>
      <x:c r="G50" s="3" t="str">
        <x:v>python -m pytest -q tests/acceptance/test_inference_settings.py
Confirm the relevant missing or incorrect behavior for the task's acceptance criteria; record the actual failing behavior and command result.</x:v>
      </x:c>
      <x:c r="H50" s="3" t="str">
        <x:v>Local development; actual supported hardware for hardware gates</x:v>
      </x:c>
      <x:c r="I50" s="7" t="str"/>
      <x:c r="J50" s="3" t="str">
        <x:v>Engineering</x:v>
      </x:c>
      <x:c r="K50" s="3" t="str">
        <x:v>Initial</x:v>
      </x:c>
      <x:c r="L50" s="3" t="str">
        <x:v>[]</x:v>
      </x:c>
      <x:c r="M50" s="3" t="str">
        <x:v>[]</x:v>
      </x:c>
      <x:c r="N50" s="3" t="str">
        <x:v>["CC-E049"]</x:v>
      </x:c>
      <x:c r="O50" s="3" t="str">
        <x:v>Fixtures cover these expected behaviors and demonstrate the relevant baseline gap:
Invalid settings do not replace a working configuration.
Quantized cache and split-mode restrictions match the pinned build.
External generation mode skips its generation sidecar.
Local embeddings remain available when only generation is external.
Public or redirected endpoints are rejected.</x:v>
      </x:c>
      <x:c r="P50" s="3" t="str">
        <x:v>["tests/acceptance/test_inference_settings.py"]</x:v>
      </x:c>
      <x:c r="Q50" s="3" t="str">
        <x:v>CC_Workshop_Implementation_Plan.md#cc-t012--add-hardware-controls-and-alternative-local-endpoints</x:v>
      </x:c>
      <x:c r="R50" s="8" t="n">
        <x:v>46275.51530535879</x:v>
      </x:c>
      <x:c r="S50" s="8" t="str"/>
      <x:c r="T50" s="8" t="str"/>
      <x:c r="U50" s="7" t="str"/>
      <x:c r="V50" s="7" t="str"/>
      <x:c r="W50" s="7" t="str"/>
      <x:c r="X50" s="7" t="str"/>
    </x:row>
    <x:row r="51" ht="84" customHeight="1">
      <x:c r="A51" s="3" t="str">
        <x:v>CC-T012-S02</x:v>
      </x:c>
      <x:c r="B51" s="3" t="str">
        <x:v>CC-T012</x:v>
      </x:c>
      <x:c r="C51" s="3" t="n">
        <x:v>2</x:v>
      </x:c>
      <x:c r="D51" s="3" t="str">
        <x:v>Implement add hardware controls and alternative local endpoints.
1. Expose validated runtime controls.
2. Validate split proportions and capability-dependent combinations.
3. Persist working profiles.
4. Add explicit external generation and embedding choices.
5. Restore the last working profile after a rejected change.</x:v>
      </x:c>
      <x:c r="E51" s="7" t="str">
        <x:v>In progress</x:v>
      </x:c>
      <x:c r="F51" s="7" t="str">
        <x:v>Coordinator</x:v>
      </x:c>
      <x:c r="G51" s="3" t="str">
        <x:v>Implementation covers the task-specific behavior; no claim of verification is made until S03.</x:v>
      </x:c>
      <x:c r="H51" s="3" t="str">
        <x:v>Local development; actual supported hardware for hardware gates</x:v>
      </x:c>
      <x:c r="I51" s="7" t="str">
        <x:v>Do not duplicate the newer implementation; retain and complete it.</x:v>
      </x:c>
      <x:c r="J51" s="3" t="str">
        <x:v>Engineering</x:v>
      </x:c>
      <x:c r="K51" s="3" t="str">
        <x:v>Initial</x:v>
      </x:c>
      <x:c r="L51" s="3" t="str">
        <x:v>["CC-T012-S01"]</x:v>
      </x:c>
      <x:c r="M51" s="3" t="str">
        <x:v>[]</x:v>
      </x:c>
      <x:c r="N51" s="3" t="str">
        <x:v>["CC-E050"]</x:v>
      </x:c>
      <x:c r="O51" s="3" t="str">
        <x:v>Expose validated runtime controls.
Validate split proportions and capability-dependent combinations.
Persist working profiles.
Add explicit external generation and embedding choices.
Restore the last working profile after a rejected change.</x:v>
      </x:c>
      <x:c r="P51" s="3" t="str">
        <x:v>[]</x:v>
      </x:c>
      <x:c r="Q51" s="3" t="str">
        <x:v>CC_Workshop_Implementation_Plan.md#cc-t012--add-hardware-controls-and-alternative-local-endpoints</x:v>
      </x:c>
      <x:c r="R51" s="8" t="n">
        <x:v>46277.75175488426</x:v>
      </x:c>
      <x:c r="S51" s="8" t="str"/>
      <x:c r="T51" s="8" t="str"/>
      <x:c r="U51" s="7" t="str"/>
      <x:c r="V51" s="7" t="str">
        <x:v>Implementation exists in the reconciled remote checkpoint; being reviewed against complete task requirements.</x:v>
      </x:c>
      <x:c r="W51" s="7" t="str"/>
      <x:c r="X51" s="7" t="str">
        <x:v>d9d94ed854198b9c0252dcfdaf3b5afccb06c217</x:v>
      </x:c>
    </x:row>
    <x:row r="52" ht="96" customHeight="1">
      <x:c r="A52" s="3" t="str">
        <x:v>CC-T012-S03</x:v>
      </x:c>
      <x:c r="B52" s="3" t="str">
        <x:v>CC-T012</x:v>
      </x:c>
      <x:c r="C52" s="3" t="n">
        <x:v>3</x:v>
      </x:c>
      <x:c r="D52" s="3" t="str">
        <x:v>Verify add hardware controls and alternative local endpoints against every acceptance criterion.
1. Invalid settings do not replace a working configuration.
2. Quantized cache and split-mode restrictions match the pinned build.
3. External generation mode skips its generation sidecar.
4. Local embeddings remain available when only generation is external.
5. Public or redirected endpoints are rejected.</x:v>
      </x:c>
      <x:c r="E52" s="7" t="str">
        <x:v>In progress</x:v>
      </x:c>
      <x:c r="F52" s="7" t="str">
        <x:v>Coordinator</x:v>
      </x:c>
      <x:c r="G52" s="3" t="str">
        <x:v>python -m pytest -q tests/acceptance/test_inference_settings.py
All applicable acceptance criteria pass; separately record manual-source, hardware or clean-installation observations when required.</x:v>
      </x:c>
      <x:c r="H52" s="3" t="str">
        <x:v>Local development; actual supported hardware for hardware gates</x:v>
      </x:c>
      <x:c r="I52" s="7" t="str">
        <x:v>Observed fixture pass is distinct from task gate completion.</x:v>
      </x:c>
      <x:c r="J52" s="3" t="str">
        <x:v>Engineering</x:v>
      </x:c>
      <x:c r="K52" s="3" t="str">
        <x:v>Initial</x:v>
      </x:c>
      <x:c r="L52" s="3" t="str">
        <x:v>["CC-T012-S02"]</x:v>
      </x:c>
      <x:c r="M52" s="3" t="str">
        <x:v>[]</x:v>
      </x:c>
      <x:c r="N52" s="3" t="str">
        <x:v>["CC-E051"]</x:v>
      </x:c>
      <x:c r="O52" s="3" t="str">
        <x:v>Invalid settings do not replace a working configuration.
Quantized cache and split-mode restrictions match the pinned build.
External generation mode skips its generation sidecar.
Local embeddings remain available when only generation is external.
Public or redirected endpoints are rejected.</x:v>
      </x:c>
      <x:c r="P52" s="3" t="str">
        <x:v>["evidence/CC-T012/verification/"]</x:v>
      </x:c>
      <x:c r="Q52" s="3" t="str">
        <x:v>CC_Workshop_Implementation_Plan.md#cc-t012--add-hardware-controls-and-alternative-local-endpoints</x:v>
      </x:c>
      <x:c r="R52" s="8" t="n">
        <x:v>46279.50255953704</x:v>
      </x:c>
      <x:c r="S52" s="8" t="n">
        <x:v>46277.97015940972</x:v>
      </x:c>
      <x:c r="T52" s="8" t="str"/>
      <x:c r="U52" s="7" t="str">
        <x:v>CC-RUN-resume-direct-20260912</x:v>
      </x:c>
      <x:c r="V52" s="7" t="str">
        <x:v>Focused synthetic verification passed. Do not mark complete until real asset/runtime gates are satisfied where required.</x:v>
      </x:c>
      <x:c r="W52" s="7" t="str">
        <x:v>CC-RUN-resume-direct-20260912</x:v>
      </x:c>
      <x:c r="X52" s="7" t="str">
        <x:v>933a39204a90ff60d26c96444de66dc379e31065</x:v>
      </x:c>
    </x:row>
    <x:row r="53" ht="54" customHeight="1">
      <x:c r="A53" s="3" t="str">
        <x:v>CC-T012-S04</x:v>
      </x:c>
      <x:c r="B53" s="3" t="str">
        <x:v>CC-T012</x:v>
      </x:c>
      <x:c r="C53" s="3" t="n">
        <x:v>4</x:v>
      </x:c>
      <x:c r="D53" s="3" t="str">
        <x:v>Review add hardware controls and alternative local endpoints, reconcile its evidence and handover, and record the commit if one is created.</x:v>
      </x:c>
      <x:c r="E53" s="7" t="str">
        <x:v>Not started</x:v>
      </x:c>
      <x:c r="F53" s="7" t="str"/>
      <x:c r="G53" s="3" t="str">
        <x:v>Independent review and all required evidence resolve task acceptance; tracker and handover agree. Record only an existing commit.</x:v>
      </x:c>
      <x:c r="H53" s="3" t="str">
        <x:v>Local development; actual supported hardware for hardware gates</x:v>
      </x:c>
      <x:c r="I53" s="7" t="str"/>
      <x:c r="J53" s="3" t="str">
        <x:v>Engineering</x:v>
      </x:c>
      <x:c r="K53" s="3" t="str">
        <x:v>Initial</x:v>
      </x:c>
      <x:c r="L53" s="3" t="str">
        <x:v>["CC-T012-S03"]</x:v>
      </x:c>
      <x:c r="M53" s="3" t="str">
        <x:v>[]</x:v>
      </x:c>
      <x:c r="N53" s="3" t="str">
        <x:v>["CC-E052"]</x:v>
      </x:c>
      <x:c r="O53" s="3" t="str">
        <x:v>Review findings resolved or explicitly recorded; evidence links valid; tracker consistent; commit field is blank or identifies an actual commit.</x:v>
      </x:c>
      <x:c r="P53" s="3" t="str">
        <x:v>["evidence/CC-T012/review/"]</x:v>
      </x:c>
      <x:c r="Q53" s="3" t="str">
        <x:v>CC_Workshop_Implementation_Plan.md#cc-t012--add-hardware-controls-and-alternative-local-endpoints</x:v>
      </x:c>
      <x:c r="R53" s="8" t="n">
        <x:v>46275.51530535879</x:v>
      </x:c>
      <x:c r="S53" s="8" t="str"/>
      <x:c r="T53" s="8" t="str"/>
      <x:c r="U53" s="7" t="str"/>
      <x:c r="V53" s="7" t="str"/>
      <x:c r="W53" s="7" t="str"/>
      <x:c r="X53" s="7" t="str"/>
    </x:row>
    <x:row r="54" ht="108" customHeight="1">
      <x:c r="A54" s="3" t="str">
        <x:v>CC-T013-S01</x:v>
      </x:c>
      <x:c r="B54" s="3" t="str">
        <x:v>CC-T013</x:v>
      </x:c>
      <x:c r="C54" s="3" t="n">
        <x:v>1</x:v>
      </x:c>
      <x:c r="D54" s="3" t="str">
        <x:v>Establish regression and acceptance fixtures for implement versioned embeddings and scoped indexes.
1. Changing the embedding profile requires a new compatible index.
2. Dimension mismatches fail before querying.
3. Corrected source content supersedes stale chunks.
4. Interrupted activation retains the previous valid index.
5. No default embedding function downloads a model during offline querying.</x:v>
      </x:c>
      <x:c r="E54" s="7" t="str">
        <x:v>Not started</x:v>
      </x:c>
      <x:c r="F54" s="7" t="str"/>
      <x:c r="G54" s="3" t="str">
        <x:v>python -m pytest -q tests/acceptance/test_index_identity.py
Confirm the relevant missing or incorrect behavior for the task's acceptance criteria; record the actual failing behavior and command result.</x:v>
      </x:c>
      <x:c r="H54" s="3" t="str">
        <x:v>Local development</x:v>
      </x:c>
      <x:c r="I54" s="7" t="str"/>
      <x:c r="J54" s="3" t="str">
        <x:v>Engineering</x:v>
      </x:c>
      <x:c r="K54" s="3" t="str">
        <x:v>Initial</x:v>
      </x:c>
      <x:c r="L54" s="3" t="str">
        <x:v>[]</x:v>
      </x:c>
      <x:c r="M54" s="3" t="str">
        <x:v>[]</x:v>
      </x:c>
      <x:c r="N54" s="3" t="str">
        <x:v>["CC-E053"]</x:v>
      </x:c>
      <x:c r="O54" s="3" t="str">
        <x:v>Fixtures cover these expected behaviors and demonstrate the relevant baseline gap:
Changing the embedding profile requires a new compatible index.
Dimension mismatches fail before querying.
Corrected source content supersedes stale chunks.
Interrupted activation retains the previous valid index.
No default embedding function downloads a model during offline querying.</x:v>
      </x:c>
      <x:c r="P54" s="3" t="str">
        <x:v>["tests/acceptance/test_index_identity.py"]</x:v>
      </x:c>
      <x:c r="Q54" s="3" t="str">
        <x:v>CC_Workshop_Implementation_Plan.md#cc-t013--implement-versioned-embeddings-and-scoped-indexes</x:v>
      </x:c>
      <x:c r="R54" s="8" t="n">
        <x:v>46275.51530535879</x:v>
      </x:c>
      <x:c r="S54" s="8" t="str"/>
      <x:c r="T54" s="8" t="str"/>
      <x:c r="U54" s="7" t="str"/>
      <x:c r="V54" s="7" t="str"/>
      <x:c r="W54" s="7" t="str"/>
      <x:c r="X54" s="7" t="str"/>
    </x:row>
    <x:row r="55" ht="108" customHeight="1">
      <x:c r="A55" s="3" t="str">
        <x:v>CC-T013-S02</x:v>
      </x:c>
      <x:c r="B55" s="3" t="str">
        <x:v>CC-T013</x:v>
      </x:c>
      <x:c r="C55" s="3" t="n">
        <x:v>2</x:v>
      </x:c>
      <x:c r="D55" s="3" t="str">
        <x:v>Implement implement versioned embeddings and scoped indexes.
1. Compute embeddings through the approved local transport.
2. Persist embedding identity and vector dimensions.
3. Build vehicle-private and approved shared-source indexes.
4. Replace hardcoded index destinations.
5. Stage new index revisions and activate them atomically.
6. Import legacy vectors only when their identity is demonstrably compatible.</x:v>
      </x:c>
      <x:c r="E55" s="7" t="str">
        <x:v>Not started</x:v>
      </x:c>
      <x:c r="F55" s="7" t="str"/>
      <x:c r="G55" s="3" t="str">
        <x:v>Implementation covers the task-specific behavior; no claim of verification is made until S03.</x:v>
      </x:c>
      <x:c r="H55" s="3" t="str">
        <x:v>Local development</x:v>
      </x:c>
      <x:c r="I55" s="7" t="str"/>
      <x:c r="J55" s="3" t="str">
        <x:v>Engineering</x:v>
      </x:c>
      <x:c r="K55" s="3" t="str">
        <x:v>Initial</x:v>
      </x:c>
      <x:c r="L55" s="3" t="str">
        <x:v>["CC-T013-S01"]</x:v>
      </x:c>
      <x:c r="M55" s="3" t="str">
        <x:v>[]</x:v>
      </x:c>
      <x:c r="N55" s="3" t="str">
        <x:v>["CC-E054"]</x:v>
      </x:c>
      <x:c r="O55" s="3" t="str">
        <x:v>Compute embeddings through the approved local transport.
Persist embedding identity and vector dimensions.
Build vehicle-private and approved shared-source indexes.
Replace hardcoded index destinations.
Stage new index revisions and activate them atomically.
Import legacy vectors only when their identity is demonstrably compatible.</x:v>
      </x:c>
      <x:c r="P55" s="3" t="str">
        <x:v>[]</x:v>
      </x:c>
      <x:c r="Q55" s="3" t="str">
        <x:v>CC_Workshop_Implementation_Plan.md#cc-t013--implement-versioned-embeddings-and-scoped-indexes</x:v>
      </x:c>
      <x:c r="R55" s="8" t="n">
        <x:v>46275.51530535879</x:v>
      </x:c>
      <x:c r="S55" s="8" t="str"/>
      <x:c r="T55" s="8" t="str"/>
      <x:c r="U55" s="7" t="str"/>
      <x:c r="V55" s="7" t="str"/>
      <x:c r="W55" s="7" t="str"/>
      <x:c r="X55" s="7" t="str"/>
    </x:row>
    <x:row r="56" ht="108" customHeight="1">
      <x:c r="A56" s="3" t="str">
        <x:v>CC-T013-S03</x:v>
      </x:c>
      <x:c r="B56" s="3" t="str">
        <x:v>CC-T013</x:v>
      </x:c>
      <x:c r="C56" s="3" t="n">
        <x:v>3</x:v>
      </x:c>
      <x:c r="D56" s="3" t="str">
        <x:v>Verify implement versioned embeddings and scoped indexes against every acceptance criterion.
1. Changing the embedding profile requires a new compatible index.
2. Dimension mismatches fail before querying.
3. Corrected source content supersedes stale chunks.
4. Interrupted activation retains the previous valid index.
5. No default embedding function downloads a model during offline querying.</x:v>
      </x:c>
      <x:c r="E56" s="7" t="str">
        <x:v>Not started</x:v>
      </x:c>
      <x:c r="F56" s="7" t="str"/>
      <x:c r="G56" s="3" t="str">
        <x:v>python -m pytest -q tests/acceptance/test_index_identity.py
All applicable acceptance criteria pass; separately record manual-source, hardware or clean-installation observations when required.</x:v>
      </x:c>
      <x:c r="H56" s="3" t="str">
        <x:v>Local development</x:v>
      </x:c>
      <x:c r="I56" s="7" t="str"/>
      <x:c r="J56" s="3" t="str">
        <x:v>Engineering</x:v>
      </x:c>
      <x:c r="K56" s="3" t="str">
        <x:v>Initial</x:v>
      </x:c>
      <x:c r="L56" s="3" t="str">
        <x:v>["CC-T013-S02"]</x:v>
      </x:c>
      <x:c r="M56" s="3" t="str">
        <x:v>[]</x:v>
      </x:c>
      <x:c r="N56" s="3" t="str">
        <x:v>["CC-E055"]</x:v>
      </x:c>
      <x:c r="O56" s="3" t="str">
        <x:v>Changing the embedding profile requires a new compatible index.
Dimension mismatches fail before querying.
Corrected source content supersedes stale chunks.
Interrupted activation retains the previous valid index.
No default embedding function downloads a model during offline querying.</x:v>
      </x:c>
      <x:c r="P56" s="3" t="str">
        <x:v>["evidence/CC-T013/verification/"]</x:v>
      </x:c>
      <x:c r="Q56" s="3" t="str">
        <x:v>CC_Workshop_Implementation_Plan.md#cc-t013--implement-versioned-embeddings-and-scoped-indexes</x:v>
      </x:c>
      <x:c r="R56" s="8" t="n">
        <x:v>46275.51530535879</x:v>
      </x:c>
      <x:c r="S56" s="8" t="str"/>
      <x:c r="T56" s="8" t="str"/>
      <x:c r="U56" s="7" t="str"/>
      <x:c r="V56" s="7" t="str"/>
      <x:c r="W56" s="7" t="str"/>
      <x:c r="X56" s="7" t="str"/>
    </x:row>
    <x:row r="57" ht="54" customHeight="1">
      <x:c r="A57" s="3" t="str">
        <x:v>CC-T013-S04</x:v>
      </x:c>
      <x:c r="B57" s="3" t="str">
        <x:v>CC-T013</x:v>
      </x:c>
      <x:c r="C57" s="3" t="n">
        <x:v>4</x:v>
      </x:c>
      <x:c r="D57" s="3" t="str">
        <x:v>Review implement versioned embeddings and scoped indexes, reconcile its evidence and handover, and record the commit if one is created.</x:v>
      </x:c>
      <x:c r="E57" s="7" t="str">
        <x:v>Not started</x:v>
      </x:c>
      <x:c r="F57" s="7" t="str"/>
      <x:c r="G57" s="3" t="str">
        <x:v>Independent review and all required evidence resolve task acceptance; tracker and handover agree. Record only an existing commit.</x:v>
      </x:c>
      <x:c r="H57" s="3" t="str">
        <x:v>Local development</x:v>
      </x:c>
      <x:c r="I57" s="7" t="str"/>
      <x:c r="J57" s="3" t="str">
        <x:v>Engineering</x:v>
      </x:c>
      <x:c r="K57" s="3" t="str">
        <x:v>Initial</x:v>
      </x:c>
      <x:c r="L57" s="3" t="str">
        <x:v>["CC-T013-S03"]</x:v>
      </x:c>
      <x:c r="M57" s="3" t="str">
        <x:v>[]</x:v>
      </x:c>
      <x:c r="N57" s="3" t="str">
        <x:v>["CC-E056"]</x:v>
      </x:c>
      <x:c r="O57" s="3" t="str">
        <x:v>Review findings resolved or explicitly recorded; evidence links valid; tracker consistent; commit field is blank or identifies an actual commit.</x:v>
      </x:c>
      <x:c r="P57" s="3" t="str">
        <x:v>["evidence/CC-T013/review/"]</x:v>
      </x:c>
      <x:c r="Q57" s="3" t="str">
        <x:v>CC_Workshop_Implementation_Plan.md#cc-t013--implement-versioned-embeddings-and-scoped-indexes</x:v>
      </x:c>
      <x:c r="R57" s="8" t="n">
        <x:v>46275.51530535879</x:v>
      </x:c>
      <x:c r="S57" s="8" t="str"/>
      <x:c r="T57" s="8" t="str"/>
      <x:c r="U57" s="7" t="str"/>
      <x:c r="V57" s="7" t="str"/>
      <x:c r="W57" s="7" t="str"/>
      <x:c r="X57" s="7" t="str"/>
    </x:row>
    <x:row r="58" ht="108" customHeight="1">
      <x:c r="A58" s="3" t="str">
        <x:v>CC-T014-S01</x:v>
      </x:c>
      <x:c r="B58" s="3" t="str">
        <x:v>CC-T014</x:v>
      </x:c>
      <x:c r="C58" s="3" t="n">
        <x:v>1</x:v>
      </x:c>
      <x:c r="D58" s="3" t="str">
        <x:v>Establish regression and acceptance fixtures for implement strict hybrid retrieval and evidence assembly.
1. Wrong-vehicle distractors never enter the evidence package.
2. Exact DTC and part-identifier fixtures are retrieved correctly.
3. Shared-source searches respect the active vehicle’s associations.
4. Context expansion preserves the reason a result was selected.
5. Repeated identical inputs produce stable candidate ordering where scores tie.</x:v>
      </x:c>
      <x:c r="E58" s="7" t="str">
        <x:v>Not started</x:v>
      </x:c>
      <x:c r="F58" s="7" t="str"/>
      <x:c r="G58" s="3" t="str">
        <x:v>python -m pytest -q tests/acceptance/test_retrieval_evidence.py
Confirm the relevant missing or incorrect behavior for the task's acceptance criteria; record the actual failing behavior and command result.</x:v>
      </x:c>
      <x:c r="H58" s="3" t="str">
        <x:v>Local development</x:v>
      </x:c>
      <x:c r="I58" s="7" t="str"/>
      <x:c r="J58" s="3" t="str">
        <x:v>Engineering</x:v>
      </x:c>
      <x:c r="K58" s="3" t="str">
        <x:v>Initial</x:v>
      </x:c>
      <x:c r="L58" s="3" t="str">
        <x:v>[]</x:v>
      </x:c>
      <x:c r="M58" s="3" t="str">
        <x:v>[]</x:v>
      </x:c>
      <x:c r="N58" s="3" t="str">
        <x:v>["CC-E057"]</x:v>
      </x:c>
      <x:c r="O58" s="3" t="str">
        <x:v>Fixtures cover these expected behaviors and demonstrate the relevant baseline gap:
Wrong-vehicle distractors never enter the evidence package.
Exact DTC and part-identifier fixtures are retrieved correctly.
Shared-source searches respect the active vehicle’s associations.
Context expansion preserves the reason a result was selected.
Repeated identical inputs produce stable candidate ordering where scores tie.</x:v>
      </x:c>
      <x:c r="P58" s="3" t="str">
        <x:v>["tests/acceptance/test_retrieval_evidence.py"]</x:v>
      </x:c>
      <x:c r="Q58" s="3" t="str">
        <x:v>CC_Workshop_Implementation_Plan.md#cc-t014--implement-strict-hybrid-retrieval-and-evidence-assembly</x:v>
      </x:c>
      <x:c r="R58" s="8" t="n">
        <x:v>46275.51530535879</x:v>
      </x:c>
      <x:c r="S58" s="8" t="str"/>
      <x:c r="T58" s="8" t="str"/>
      <x:c r="U58" s="7" t="str"/>
      <x:c r="V58" s="7" t="str"/>
      <x:c r="W58" s="7" t="str"/>
      <x:c r="X58" s="7" t="str"/>
    </x:row>
    <x:row r="59" ht="84" customHeight="1">
      <x:c r="A59" s="3" t="str">
        <x:v>CC-T014-S02</x:v>
      </x:c>
      <x:c r="B59" s="3" t="str">
        <x:v>CC-T014</x:v>
      </x:c>
      <x:c r="C59" s="3" t="n">
        <x:v>2</x:v>
      </x:c>
      <x:c r="D59" s="3" t="str">
        <x:v>Implement implement strict hybrid retrieval and evidence assembly.
1. Add exact-identifier and FTS retrieval.
2. Apply identical access/applicability restrictions to all search paths.
3. Merge lexical and vector candidates deterministically.
4. Expand warnings, tables, figures and parent context.
5. Produce the evidence-package contract.</x:v>
      </x:c>
      <x:c r="E59" s="7" t="str">
        <x:v>Not started</x:v>
      </x:c>
      <x:c r="F59" s="7" t="str"/>
      <x:c r="G59" s="3" t="str">
        <x:v>Implementation covers the task-specific behavior; no claim of verification is made until S03.</x:v>
      </x:c>
      <x:c r="H59" s="3" t="str">
        <x:v>Local development</x:v>
      </x:c>
      <x:c r="I59" s="7" t="str"/>
      <x:c r="J59" s="3" t="str">
        <x:v>Engineering</x:v>
      </x:c>
      <x:c r="K59" s="3" t="str">
        <x:v>Initial</x:v>
      </x:c>
      <x:c r="L59" s="3" t="str">
        <x:v>["CC-T014-S01"]</x:v>
      </x:c>
      <x:c r="M59" s="3" t="str">
        <x:v>[]</x:v>
      </x:c>
      <x:c r="N59" s="3" t="str">
        <x:v>["CC-E058"]</x:v>
      </x:c>
      <x:c r="O59" s="3" t="str">
        <x:v>Add exact-identifier and FTS retrieval.
Apply identical access/applicability restrictions to all search paths.
Merge lexical and vector candidates deterministically.
Expand warnings, tables, figures and parent context.
Produce the evidence-package contract.</x:v>
      </x:c>
      <x:c r="P59" s="3" t="str">
        <x:v>[]</x:v>
      </x:c>
      <x:c r="Q59" s="3" t="str">
        <x:v>CC_Workshop_Implementation_Plan.md#cc-t014--implement-strict-hybrid-retrieval-and-evidence-assembly</x:v>
      </x:c>
      <x:c r="R59" s="8" t="n">
        <x:v>46275.51530535879</x:v>
      </x:c>
      <x:c r="S59" s="8" t="str"/>
      <x:c r="T59" s="8" t="str"/>
      <x:c r="U59" s="7" t="str"/>
      <x:c r="V59" s="7" t="str"/>
      <x:c r="W59" s="7" t="str"/>
      <x:c r="X59" s="7" t="str"/>
    </x:row>
    <x:row r="60" ht="108" customHeight="1">
      <x:c r="A60" s="3" t="str">
        <x:v>CC-T014-S03</x:v>
      </x:c>
      <x:c r="B60" s="3" t="str">
        <x:v>CC-T014</x:v>
      </x:c>
      <x:c r="C60" s="3" t="n">
        <x:v>3</x:v>
      </x:c>
      <x:c r="D60" s="3" t="str">
        <x:v>Verify implement strict hybrid retrieval and evidence assembly against every acceptance criterion.
1. Wrong-vehicle distractors never enter the evidence package.
2. Exact DTC and part-identifier fixtures are retrieved correctly.
3. Shared-source searches respect the active vehicle’s associations.
4. Context expansion preserves the reason a result was selected.
5. Repeated identical inputs produce stable candidate ordering where scores tie.</x:v>
      </x:c>
      <x:c r="E60" s="7" t="str">
        <x:v>Not started</x:v>
      </x:c>
      <x:c r="F60" s="7" t="str"/>
      <x:c r="G60" s="3" t="str">
        <x:v>python -m pytest -q tests/acceptance/test_retrieval_evidence.py
All applicable acceptance criteria pass; separately record manual-source, hardware or clean-installation observations when required.</x:v>
      </x:c>
      <x:c r="H60" s="3" t="str">
        <x:v>Local development</x:v>
      </x:c>
      <x:c r="I60" s="7" t="str"/>
      <x:c r="J60" s="3" t="str">
        <x:v>Engineering</x:v>
      </x:c>
      <x:c r="K60" s="3" t="str">
        <x:v>Initial</x:v>
      </x:c>
      <x:c r="L60" s="3" t="str">
        <x:v>["CC-T014-S02"]</x:v>
      </x:c>
      <x:c r="M60" s="3" t="str">
        <x:v>[]</x:v>
      </x:c>
      <x:c r="N60" s="3" t="str">
        <x:v>["CC-E059"]</x:v>
      </x:c>
      <x:c r="O60" s="3" t="str">
        <x:v>Wrong-vehicle distractors never enter the evidence package.
Exact DTC and part-identifier fixtures are retrieved correctly.
Shared-source searches respect the active vehicle’s associations.
Context expansion preserves the reason a result was selected.
Repeated identical inputs produce stable candidate ordering where scores tie.</x:v>
      </x:c>
      <x:c r="P60" s="3" t="str">
        <x:v>["evidence/CC-T014/verification/"]</x:v>
      </x:c>
      <x:c r="Q60" s="3" t="str">
        <x:v>CC_Workshop_Implementation_Plan.md#cc-t014--implement-strict-hybrid-retrieval-and-evidence-assembly</x:v>
      </x:c>
      <x:c r="R60" s="8" t="n">
        <x:v>46275.51530535879</x:v>
      </x:c>
      <x:c r="S60" s="8" t="str"/>
      <x:c r="T60" s="8" t="str"/>
      <x:c r="U60" s="7" t="str"/>
      <x:c r="V60" s="7" t="str"/>
      <x:c r="W60" s="7" t="str"/>
      <x:c r="X60" s="7" t="str"/>
    </x:row>
    <x:row r="61" ht="54" customHeight="1">
      <x:c r="A61" s="3" t="str">
        <x:v>CC-T014-S04</x:v>
      </x:c>
      <x:c r="B61" s="3" t="str">
        <x:v>CC-T014</x:v>
      </x:c>
      <x:c r="C61" s="3" t="n">
        <x:v>4</x:v>
      </x:c>
      <x:c r="D61" s="3" t="str">
        <x:v>Review implement strict hybrid retrieval and evidence assembly, reconcile its evidence and handover, and record the commit if one is created.</x:v>
      </x:c>
      <x:c r="E61" s="7" t="str">
        <x:v>Not started</x:v>
      </x:c>
      <x:c r="F61" s="7" t="str"/>
      <x:c r="G61" s="3" t="str">
        <x:v>Independent review and all required evidence resolve task acceptance; tracker and handover agree. Record only an existing commit.</x:v>
      </x:c>
      <x:c r="H61" s="3" t="str">
        <x:v>Local development</x:v>
      </x:c>
      <x:c r="I61" s="7" t="str"/>
      <x:c r="J61" s="3" t="str">
        <x:v>Engineering</x:v>
      </x:c>
      <x:c r="K61" s="3" t="str">
        <x:v>Initial</x:v>
      </x:c>
      <x:c r="L61" s="3" t="str">
        <x:v>["CC-T014-S03"]</x:v>
      </x:c>
      <x:c r="M61" s="3" t="str">
        <x:v>[]</x:v>
      </x:c>
      <x:c r="N61" s="3" t="str">
        <x:v>["CC-E060"]</x:v>
      </x:c>
      <x:c r="O61" s="3" t="str">
        <x:v>Review findings resolved or explicitly recorded; evidence links valid; tracker consistent; commit field is blank or identifies an actual commit.</x:v>
      </x:c>
      <x:c r="P61" s="3" t="str">
        <x:v>["evidence/CC-T014/review/"]</x:v>
      </x:c>
      <x:c r="Q61" s="3" t="str">
        <x:v>CC_Workshop_Implementation_Plan.md#cc-t014--implement-strict-hybrid-retrieval-and-evidence-assembly</x:v>
      </x:c>
      <x:c r="R61" s="8" t="n">
        <x:v>46275.51530535879</x:v>
      </x:c>
      <x:c r="S61" s="8" t="str"/>
      <x:c r="T61" s="8" t="str"/>
      <x:c r="U61" s="7" t="str"/>
      <x:c r="V61" s="7" t="str"/>
      <x:c r="W61" s="7" t="str"/>
      <x:c r="X61" s="7" t="str"/>
    </x:row>
    <x:row r="62" ht="108" customHeight="1">
      <x:c r="A62" s="3" t="str">
        <x:v>CC-T015-S01</x:v>
      </x:c>
      <x:c r="B62" s="3" t="str">
        <x:v>CC-T015</x:v>
      </x:c>
      <x:c r="C62" s="3" t="n">
        <x:v>1</x:v>
      </x:c>
      <x:c r="D62" s="3" t="str">
        <x:v>Establish regression and acceptance fixtures for implement component-bound specification verification.
1. Swapped fastener values fail.
2. Missing angle stages fail.
3. Unsupported capacities and part numbers do not receive a blanket verified state.
4. Zero checked specifications does not mean universal verification.
5. Conflicting applicable records withhold a definitive value.</x:v>
      </x:c>
      <x:c r="E62" s="7" t="str">
        <x:v>Not started</x:v>
      </x:c>
      <x:c r="F62" s="7" t="str"/>
      <x:c r="G62" s="3" t="str">
        <x:v>python -m pytest -q tests/acceptance/test_specification_binding.py
Confirm the relevant missing or incorrect behavior for the task's acceptance criteria; record the actual failing behavior and command result.</x:v>
      </x:c>
      <x:c r="H62" s="3" t="str">
        <x:v>Local development</x:v>
      </x:c>
      <x:c r="I62" s="7" t="str"/>
      <x:c r="J62" s="3" t="str">
        <x:v>Engineering</x:v>
      </x:c>
      <x:c r="K62" s="3" t="str">
        <x:v>Initial</x:v>
      </x:c>
      <x:c r="L62" s="3" t="str">
        <x:v>[]</x:v>
      </x:c>
      <x:c r="M62" s="3" t="str">
        <x:v>[]</x:v>
      </x:c>
      <x:c r="N62" s="3" t="str">
        <x:v>["CC-E061"]</x:v>
      </x:c>
      <x:c r="O62" s="3" t="str">
        <x:v>Fixtures cover these expected behaviors and demonstrate the relevant baseline gap:
Swapped fastener values fail.
Missing angle stages fail.
Unsupported capacities and part numbers do not receive a blanket verified state.
Zero checked specifications does not mean universal verification.
Conflicting applicable records withhold a definitive value.</x:v>
      </x:c>
      <x:c r="P62" s="3" t="str">
        <x:v>["tests/acceptance/test_specification_binding.py"]</x:v>
      </x:c>
      <x:c r="Q62" s="3" t="str">
        <x:v>CC_Workshop_Implementation_Plan.md#cc-t015--implement-component-bound-specification-verification</x:v>
      </x:c>
      <x:c r="R62" s="8" t="n">
        <x:v>46275.51530535879</x:v>
      </x:c>
      <x:c r="S62" s="8" t="str"/>
      <x:c r="T62" s="8" t="str"/>
      <x:c r="U62" s="7" t="str"/>
      <x:c r="V62" s="7" t="str"/>
      <x:c r="W62" s="7" t="str"/>
      <x:c r="X62" s="7" t="str"/>
    </x:row>
    <x:row r="63" ht="84" customHeight="1">
      <x:c r="A63" s="3" t="str">
        <x:v>CC-T015-S02</x:v>
      </x:c>
      <x:c r="B63" s="3" t="str">
        <x:v>CC-T015</x:v>
      </x:c>
      <x:c r="C63" s="3" t="n">
        <x:v>2</x:v>
      </x:c>
      <x:c r="D63" s="3" t="str">
        <x:v>Implement implement component-bound specification verification.
1. Adapt useful existing numeric extraction patterns.
2. Add typed specification records.
3. Bind values to component, operation, conditions and evidence.
4. Add explicit support states.
5. Render approved expressions in application code.</x:v>
      </x:c>
      <x:c r="E63" s="7" t="str">
        <x:v>Not started</x:v>
      </x:c>
      <x:c r="F63" s="7" t="str"/>
      <x:c r="G63" s="3" t="str">
        <x:v>Implementation covers the task-specific behavior; no claim of verification is made until S03.</x:v>
      </x:c>
      <x:c r="H63" s="3" t="str">
        <x:v>Local development</x:v>
      </x:c>
      <x:c r="I63" s="7" t="str"/>
      <x:c r="J63" s="3" t="str">
        <x:v>Engineering</x:v>
      </x:c>
      <x:c r="K63" s="3" t="str">
        <x:v>Initial</x:v>
      </x:c>
      <x:c r="L63" s="3" t="str">
        <x:v>["CC-T015-S01"]</x:v>
      </x:c>
      <x:c r="M63" s="3" t="str">
        <x:v>[]</x:v>
      </x:c>
      <x:c r="N63" s="3" t="str">
        <x:v>["CC-E062"]</x:v>
      </x:c>
      <x:c r="O63" s="3" t="str">
        <x:v>Adapt useful existing numeric extraction patterns.
Add typed specification records.
Bind values to component, operation, conditions and evidence.
Add explicit support states.
Render approved expressions in application code.</x:v>
      </x:c>
      <x:c r="P63" s="3" t="str">
        <x:v>[]</x:v>
      </x:c>
      <x:c r="Q63" s="3" t="str">
        <x:v>CC_Workshop_Implementation_Plan.md#cc-t015--implement-component-bound-specification-verification</x:v>
      </x:c>
      <x:c r="R63" s="8" t="n">
        <x:v>46275.51530535879</x:v>
      </x:c>
      <x:c r="S63" s="8" t="str"/>
      <x:c r="T63" s="8" t="str"/>
      <x:c r="U63" s="7" t="str"/>
      <x:c r="V63" s="7" t="str"/>
      <x:c r="W63" s="7" t="str"/>
      <x:c r="X63" s="7" t="str"/>
    </x:row>
    <x:row r="64" ht="108" customHeight="1">
      <x:c r="A64" s="3" t="str">
        <x:v>CC-T015-S03</x:v>
      </x:c>
      <x:c r="B64" s="3" t="str">
        <x:v>CC-T015</x:v>
      </x:c>
      <x:c r="C64" s="3" t="n">
        <x:v>3</x:v>
      </x:c>
      <x:c r="D64" s="3" t="str">
        <x:v>Verify implement component-bound specification verification against every acceptance criterion.
1. Swapped fastener values fail.
2. Missing angle stages fail.
3. Unsupported capacities and part numbers do not receive a blanket verified state.
4. Zero checked specifications does not mean universal verification.
5. Conflicting applicable records withhold a definitive value.</x:v>
      </x:c>
      <x:c r="E64" s="7" t="str">
        <x:v>Not started</x:v>
      </x:c>
      <x:c r="F64" s="7" t="str"/>
      <x:c r="G64" s="3" t="str">
        <x:v>python -m pytest -q tests/acceptance/test_specification_binding.py
All applicable acceptance criteria pass; separately record manual-source, hardware or clean-installation observations when required.</x:v>
      </x:c>
      <x:c r="H64" s="3" t="str">
        <x:v>Local development</x:v>
      </x:c>
      <x:c r="I64" s="7" t="str"/>
      <x:c r="J64" s="3" t="str">
        <x:v>Engineering</x:v>
      </x:c>
      <x:c r="K64" s="3" t="str">
        <x:v>Initial</x:v>
      </x:c>
      <x:c r="L64" s="3" t="str">
        <x:v>["CC-T015-S02"]</x:v>
      </x:c>
      <x:c r="M64" s="3" t="str">
        <x:v>[]</x:v>
      </x:c>
      <x:c r="N64" s="3" t="str">
        <x:v>["CC-E063"]</x:v>
      </x:c>
      <x:c r="O64" s="3" t="str">
        <x:v>Swapped fastener values fail.
Missing angle stages fail.
Unsupported capacities and part numbers do not receive a blanket verified state.
Zero checked specifications does not mean universal verification.
Conflicting applicable records withhold a definitive value.</x:v>
      </x:c>
      <x:c r="P64" s="3" t="str">
        <x:v>["evidence/CC-T015/verification/"]</x:v>
      </x:c>
      <x:c r="Q64" s="3" t="str">
        <x:v>CC_Workshop_Implementation_Plan.md#cc-t015--implement-component-bound-specification-verification</x:v>
      </x:c>
      <x:c r="R64" s="8" t="n">
        <x:v>46275.51530535879</x:v>
      </x:c>
      <x:c r="S64" s="8" t="str"/>
      <x:c r="T64" s="8" t="str"/>
      <x:c r="U64" s="7" t="str"/>
      <x:c r="V64" s="7" t="str"/>
      <x:c r="W64" s="7" t="str"/>
      <x:c r="X64" s="7" t="str"/>
    </x:row>
    <x:row r="65" ht="54" customHeight="1">
      <x:c r="A65" s="3" t="str">
        <x:v>CC-T015-S04</x:v>
      </x:c>
      <x:c r="B65" s="3" t="str">
        <x:v>CC-T015</x:v>
      </x:c>
      <x:c r="C65" s="3" t="n">
        <x:v>4</x:v>
      </x:c>
      <x:c r="D65" s="3" t="str">
        <x:v>Review implement component-bound specification verification, reconcile its evidence and handover, and record the commit if one is created.</x:v>
      </x:c>
      <x:c r="E65" s="7" t="str">
        <x:v>Not started</x:v>
      </x:c>
      <x:c r="F65" s="7" t="str"/>
      <x:c r="G65" s="3" t="str">
        <x:v>Independent review and all required evidence resolve task acceptance; tracker and handover agree. Record only an existing commit.</x:v>
      </x:c>
      <x:c r="H65" s="3" t="str">
        <x:v>Local development</x:v>
      </x:c>
      <x:c r="I65" s="7" t="str"/>
      <x:c r="J65" s="3" t="str">
        <x:v>Engineering</x:v>
      </x:c>
      <x:c r="K65" s="3" t="str">
        <x:v>Initial</x:v>
      </x:c>
      <x:c r="L65" s="3" t="str">
        <x:v>["CC-T015-S03"]</x:v>
      </x:c>
      <x:c r="M65" s="3" t="str">
        <x:v>[]</x:v>
      </x:c>
      <x:c r="N65" s="3" t="str">
        <x:v>["CC-E064"]</x:v>
      </x:c>
      <x:c r="O65" s="3" t="str">
        <x:v>Review findings resolved or explicitly recorded; evidence links valid; tracker consistent; commit field is blank or identifies an actual commit.</x:v>
      </x:c>
      <x:c r="P65" s="3" t="str">
        <x:v>["evidence/CC-T015/review/"]</x:v>
      </x:c>
      <x:c r="Q65" s="3" t="str">
        <x:v>CC_Workshop_Implementation_Plan.md#cc-t015--implement-component-bound-specification-verification</x:v>
      </x:c>
      <x:c r="R65" s="8" t="n">
        <x:v>46275.51530535879</x:v>
      </x:c>
      <x:c r="S65" s="8" t="str"/>
      <x:c r="T65" s="8" t="str"/>
      <x:c r="U65" s="7" t="str"/>
      <x:c r="V65" s="7" t="str"/>
      <x:c r="W65" s="7" t="str"/>
      <x:c r="X65" s="7" t="str"/>
    </x:row>
    <x:row r="66" ht="96" customHeight="1">
      <x:c r="A66" s="3" t="str">
        <x:v>CC-T016-S01</x:v>
      </x:c>
      <x:c r="B66" s="3" t="str">
        <x:v>CC-T016</x:v>
      </x:c>
      <x:c r="C66" s="3" t="n">
        <x:v>1</x:v>
      </x:c>
      <x:c r="D66" s="3" t="str">
        <x:v>Establish regression and acceptance fixtures for implement answer routing and validation.
1. Missing information produces the required abstention sentence.
2. Invalid citations cannot appear as support.
3. Unsupported generated specifications are withheld.
4. Out-of-domain requests receive a brief useful response.
5. Failed or cancelled generation cannot become a completed answer.</x:v>
      </x:c>
      <x:c r="E66" s="7" t="str">
        <x:v>Not started</x:v>
      </x:c>
      <x:c r="F66" s="7" t="str"/>
      <x:c r="G66" s="3" t="str">
        <x:v>python -m pytest -q tests/acceptance/test_answer_routing.py
Confirm the relevant missing or incorrect behavior for the task's acceptance criteria; record the actual failing behavior and command result.</x:v>
      </x:c>
      <x:c r="H66" s="3" t="str">
        <x:v>Local development</x:v>
      </x:c>
      <x:c r="I66" s="7" t="str"/>
      <x:c r="J66" s="3" t="str">
        <x:v>Engineering</x:v>
      </x:c>
      <x:c r="K66" s="3" t="str">
        <x:v>Initial</x:v>
      </x:c>
      <x:c r="L66" s="3" t="str">
        <x:v>[]</x:v>
      </x:c>
      <x:c r="M66" s="3" t="str">
        <x:v>[]</x:v>
      </x:c>
      <x:c r="N66" s="3" t="str">
        <x:v>["CC-E065"]</x:v>
      </x:c>
      <x:c r="O66" s="3" t="str">
        <x:v>Fixtures cover these expected behaviors and demonstrate the relevant baseline gap:
Missing information produces the required abstention sentence.
Invalid citations cannot appear as support.
Unsupported generated specifications are withheld.
Out-of-domain requests receive a brief useful response.
Failed or cancelled generation cannot become a completed answer.</x:v>
      </x:c>
      <x:c r="P66" s="3" t="str">
        <x:v>["tests/acceptance/test_answer_routing.py"]</x:v>
      </x:c>
      <x:c r="Q66" s="3" t="str">
        <x:v>CC_Workshop_Implementation_Plan.md#cc-t016--implement-answer-routing-and-validation</x:v>
      </x:c>
      <x:c r="R66" s="8" t="n">
        <x:v>46275.51530535879</x:v>
      </x:c>
      <x:c r="S66" s="8" t="str"/>
      <x:c r="T66" s="8" t="str"/>
      <x:c r="U66" s="7" t="str"/>
      <x:c r="V66" s="7" t="str"/>
      <x:c r="W66" s="7" t="str"/>
      <x:c r="X66" s="7" t="str"/>
    </x:row>
    <x:row r="67" ht="96" customHeight="1">
      <x:c r="A67" s="3" t="str">
        <x:v>CC-T016-S02</x:v>
      </x:c>
      <x:c r="B67" s="3" t="str">
        <x:v>CC-T016</x:v>
      </x:c>
      <x:c r="C67" s="3" t="n">
        <x:v>2</x:v>
      </x:c>
      <x:c r="D67" s="3" t="str">
        <x:v>Implement implement answer routing and validation.
1. Add fact, diagnosis, procedure, source and out-of-domain routes.
2. Render direct facts without unnecessary generation.
3. Validate citation access, claim support and answer structure.
4. Allow one bounded formatting-repair attempt for malformed model output.
5. Preserve separate answer dispositions.</x:v>
      </x:c>
      <x:c r="E67" s="7" t="str">
        <x:v>Not started</x:v>
      </x:c>
      <x:c r="F67" s="7" t="str"/>
      <x:c r="G67" s="3" t="str">
        <x:v>Implementation covers the task-specific behavior; no claim of verification is made until S03.</x:v>
      </x:c>
      <x:c r="H67" s="3" t="str">
        <x:v>Local development</x:v>
      </x:c>
      <x:c r="I67" s="7" t="str"/>
      <x:c r="J67" s="3" t="str">
        <x:v>Engineering</x:v>
      </x:c>
      <x:c r="K67" s="3" t="str">
        <x:v>Initial</x:v>
      </x:c>
      <x:c r="L67" s="3" t="str">
        <x:v>["CC-T016-S01"]</x:v>
      </x:c>
      <x:c r="M67" s="3" t="str">
        <x:v>[]</x:v>
      </x:c>
      <x:c r="N67" s="3" t="str">
        <x:v>["CC-E066"]</x:v>
      </x:c>
      <x:c r="O67" s="3" t="str">
        <x:v>Add fact, diagnosis, procedure, source and out-of-domain routes.
Render direct facts without unnecessary generation.
Validate citation access, claim support and answer structure.
Allow one bounded formatting-repair attempt for malformed model output.
Preserve separate answer dispositions.</x:v>
      </x:c>
      <x:c r="P67" s="3" t="str">
        <x:v>[]</x:v>
      </x:c>
      <x:c r="Q67" s="3" t="str">
        <x:v>CC_Workshop_Implementation_Plan.md#cc-t016--implement-answer-routing-and-validation</x:v>
      </x:c>
      <x:c r="R67" s="8" t="n">
        <x:v>46275.51530535879</x:v>
      </x:c>
      <x:c r="S67" s="8" t="str"/>
      <x:c r="T67" s="8" t="str"/>
      <x:c r="U67" s="7" t="str"/>
      <x:c r="V67" s="7" t="str"/>
      <x:c r="W67" s="7" t="str"/>
      <x:c r="X67" s="7" t="str"/>
    </x:row>
    <x:row r="68" ht="96" customHeight="1">
      <x:c r="A68" s="3" t="str">
        <x:v>CC-T016-S03</x:v>
      </x:c>
      <x:c r="B68" s="3" t="str">
        <x:v>CC-T016</x:v>
      </x:c>
      <x:c r="C68" s="3" t="n">
        <x:v>3</x:v>
      </x:c>
      <x:c r="D68" s="3" t="str">
        <x:v>Verify implement answer routing and validation against every acceptance criterion.
1. Missing information produces the required abstention sentence.
2. Invalid citations cannot appear as support.
3. Unsupported generated specifications are withheld.
4. Out-of-domain requests receive a brief useful response.
5. Failed or cancelled generation cannot become a completed answer.</x:v>
      </x:c>
      <x:c r="E68" s="7" t="str">
        <x:v>Not started</x:v>
      </x:c>
      <x:c r="F68" s="7" t="str"/>
      <x:c r="G68" s="3" t="str">
        <x:v>python -m pytest -q tests/acceptance/test_answer_routing.py
All applicable acceptance criteria pass; separately record manual-source, hardware or clean-installation observations when required.</x:v>
      </x:c>
      <x:c r="H68" s="3" t="str">
        <x:v>Local development</x:v>
      </x:c>
      <x:c r="I68" s="7" t="str"/>
      <x:c r="J68" s="3" t="str">
        <x:v>Engineering</x:v>
      </x:c>
      <x:c r="K68" s="3" t="str">
        <x:v>Initial</x:v>
      </x:c>
      <x:c r="L68" s="3" t="str">
        <x:v>["CC-T016-S02"]</x:v>
      </x:c>
      <x:c r="M68" s="3" t="str">
        <x:v>[]</x:v>
      </x:c>
      <x:c r="N68" s="3" t="str">
        <x:v>["CC-E067"]</x:v>
      </x:c>
      <x:c r="O68" s="3" t="str">
        <x:v>Missing information produces the required abstention sentence.
Invalid citations cannot appear as support.
Unsupported generated specifications are withheld.
Out-of-domain requests receive a brief useful response.
Failed or cancelled generation cannot become a completed answer.</x:v>
      </x:c>
      <x:c r="P68" s="3" t="str">
        <x:v>["evidence/CC-T016/verification/"]</x:v>
      </x:c>
      <x:c r="Q68" s="3" t="str">
        <x:v>CC_Workshop_Implementation_Plan.md#cc-t016--implement-answer-routing-and-validation</x:v>
      </x:c>
      <x:c r="R68" s="8" t="n">
        <x:v>46275.51530535879</x:v>
      </x:c>
      <x:c r="S68" s="8" t="str"/>
      <x:c r="T68" s="8" t="str"/>
      <x:c r="U68" s="7" t="str"/>
      <x:c r="V68" s="7" t="str"/>
      <x:c r="W68" s="7" t="str"/>
      <x:c r="X68" s="7" t="str"/>
    </x:row>
    <x:row r="69" ht="54" customHeight="1">
      <x:c r="A69" s="3" t="str">
        <x:v>CC-T016-S04</x:v>
      </x:c>
      <x:c r="B69" s="3" t="str">
        <x:v>CC-T016</x:v>
      </x:c>
      <x:c r="C69" s="3" t="n">
        <x:v>4</x:v>
      </x:c>
      <x:c r="D69" s="3" t="str">
        <x:v>Review implement answer routing and validation, reconcile its evidence and handover, and record the commit if one is created.</x:v>
      </x:c>
      <x:c r="E69" s="7" t="str">
        <x:v>Not started</x:v>
      </x:c>
      <x:c r="F69" s="7" t="str"/>
      <x:c r="G69" s="3" t="str">
        <x:v>Independent review and all required evidence resolve task acceptance; tracker and handover agree. Record only an existing commit.</x:v>
      </x:c>
      <x:c r="H69" s="3" t="str">
        <x:v>Local development</x:v>
      </x:c>
      <x:c r="I69" s="7" t="str"/>
      <x:c r="J69" s="3" t="str">
        <x:v>Engineering</x:v>
      </x:c>
      <x:c r="K69" s="3" t="str">
        <x:v>Initial</x:v>
      </x:c>
      <x:c r="L69" s="3" t="str">
        <x:v>["CC-T016-S03"]</x:v>
      </x:c>
      <x:c r="M69" s="3" t="str">
        <x:v>[]</x:v>
      </x:c>
      <x:c r="N69" s="3" t="str">
        <x:v>["CC-E068"]</x:v>
      </x:c>
      <x:c r="O69" s="3" t="str">
        <x:v>Review findings resolved or explicitly recorded; evidence links valid; tracker consistent; commit field is blank or identifies an actual commit.</x:v>
      </x:c>
      <x:c r="P69" s="3" t="str">
        <x:v>["evidence/CC-T016/review/"]</x:v>
      </x:c>
      <x:c r="Q69" s="3" t="str">
        <x:v>CC_Workshop_Implementation_Plan.md#cc-t016--implement-answer-routing-and-validation</x:v>
      </x:c>
      <x:c r="R69" s="8" t="n">
        <x:v>46275.51530535879</x:v>
      </x:c>
      <x:c r="S69" s="8" t="str"/>
      <x:c r="T69" s="8" t="str"/>
      <x:c r="U69" s="7" t="str"/>
      <x:c r="V69" s="7" t="str"/>
      <x:c r="W69" s="7" t="str"/>
      <x:c r="X69" s="7" t="str"/>
    </x:row>
    <x:row r="70" ht="108" customHeight="1">
      <x:c r="A70" s="3" t="str">
        <x:v>CC-T017-S01</x:v>
      </x:c>
      <x:c r="B70" s="3" t="str">
        <x:v>CC-T017</x:v>
      </x:c>
      <x:c r="C70" s="3" t="n">
        <x:v>1</x:v>
      </x:c>
      <x:c r="D70" s="3" t="str">
        <x:v>Establish regression and acceptance fixtures for extend the shared browser interface.
1. Desktop and browser workflows use the same data.
2. Rapid Garage switching does not display another vehicle’s result.
3. Keyboard navigation and visible focus work.
4. Loading, empty, failure, unknown-applicability and cancelled states are covered.
5. No CDN is needed.</x:v>
      </x:c>
      <x:c r="E70" s="7" t="str">
        <x:v>Not started</x:v>
      </x:c>
      <x:c r="F70" s="7" t="str"/>
      <x:c r="G70" s="3" t="str">
        <x:v>python -m pytest -q tests/acceptance/test_workspace_ui.py
Confirm the relevant missing or incorrect behavior for the task's acceptance criteria; record the actual failing behavior and command result.</x:v>
      </x:c>
      <x:c r="H70" s="3" t="str">
        <x:v>Local development</x:v>
      </x:c>
      <x:c r="I70" s="7" t="str"/>
      <x:c r="J70" s="3" t="str">
        <x:v>Engineering</x:v>
      </x:c>
      <x:c r="K70" s="3" t="str">
        <x:v>Initial</x:v>
      </x:c>
      <x:c r="L70" s="3" t="str">
        <x:v>[]</x:v>
      </x:c>
      <x:c r="M70" s="3" t="str">
        <x:v>[]</x:v>
      </x:c>
      <x:c r="N70" s="3" t="str">
        <x:v>["CC-E069"]</x:v>
      </x:c>
      <x:c r="O70" s="3" t="str">
        <x:v>Fixtures cover these expected behaviors and demonstrate the relevant baseline gap:
Desktop and browser workflows use the same data.
Rapid Garage switching does not display another vehicle’s result.
Keyboard navigation and visible focus work.
Loading, empty, failure, unknown-applicability and cancelled states are covered.
No CDN is needed.</x:v>
      </x:c>
      <x:c r="P70" s="3" t="str">
        <x:v>["tests/acceptance/test_workspace_ui.py"]</x:v>
      </x:c>
      <x:c r="Q70" s="3" t="str">
        <x:v>CC_Workshop_Implementation_Plan.md#cc-t017--extend-the-shared-browser-interface</x:v>
      </x:c>
      <x:c r="R70" s="8" t="n">
        <x:v>46275.51530535879</x:v>
      </x:c>
      <x:c r="S70" s="8" t="str"/>
      <x:c r="T70" s="8" t="str"/>
      <x:c r="U70" s="7" t="str"/>
      <x:c r="V70" s="7" t="str"/>
      <x:c r="W70" s="7" t="str"/>
      <x:c r="X70" s="7" t="str"/>
    </x:row>
    <x:row r="71" ht="84" customHeight="1">
      <x:c r="A71" s="3" t="str">
        <x:v>CC-T017-S02</x:v>
      </x:c>
      <x:c r="B71" s="3" t="str">
        <x:v>CC-T017</x:v>
      </x:c>
      <x:c r="C71" s="3" t="n">
        <x:v>2</x:v>
      </x:c>
      <x:c r="D71" s="3" t="str">
        <x:v>Implement extend the shared browser interface.
1. Add Garage navigation and persistent active-vehicle display.
2. Build Library, job progress, history and settings screens.
3. Use the same backend in browser and pywebview.
4. Preserve request context during vehicle switching.
5. Bundle all interface assets locally.</x:v>
      </x:c>
      <x:c r="E71" s="7" t="str">
        <x:v>Not started</x:v>
      </x:c>
      <x:c r="F71" s="7" t="str"/>
      <x:c r="G71" s="3" t="str">
        <x:v>Implementation covers the task-specific behavior; no claim of verification is made until S03.</x:v>
      </x:c>
      <x:c r="H71" s="3" t="str">
        <x:v>Local development</x:v>
      </x:c>
      <x:c r="I71" s="7" t="str"/>
      <x:c r="J71" s="3" t="str">
        <x:v>Engineering</x:v>
      </x:c>
      <x:c r="K71" s="3" t="str">
        <x:v>Initial</x:v>
      </x:c>
      <x:c r="L71" s="3" t="str">
        <x:v>["CC-T017-S01"]</x:v>
      </x:c>
      <x:c r="M71" s="3" t="str">
        <x:v>[]</x:v>
      </x:c>
      <x:c r="N71" s="3" t="str">
        <x:v>["CC-E070"]</x:v>
      </x:c>
      <x:c r="O71" s="3" t="str">
        <x:v>Add Garage navigation and persistent active-vehicle display.
Build Library, job progress, history and settings screens.
Use the same backend in browser and pywebview.
Preserve request context during vehicle switching.
Bundle all interface assets locally.</x:v>
      </x:c>
      <x:c r="P71" s="3" t="str">
        <x:v>[]</x:v>
      </x:c>
      <x:c r="Q71" s="3" t="str">
        <x:v>CC_Workshop_Implementation_Plan.md#cc-t017--extend-the-shared-browser-interface</x:v>
      </x:c>
      <x:c r="R71" s="8" t="n">
        <x:v>46275.51530535879</x:v>
      </x:c>
      <x:c r="S71" s="8" t="str"/>
      <x:c r="T71" s="8" t="str"/>
      <x:c r="U71" s="7" t="str"/>
      <x:c r="V71" s="7" t="str"/>
      <x:c r="W71" s="7" t="str"/>
      <x:c r="X71" s="7" t="str"/>
    </x:row>
    <x:row r="72" ht="108" customHeight="1">
      <x:c r="A72" s="3" t="str">
        <x:v>CC-T017-S03</x:v>
      </x:c>
      <x:c r="B72" s="3" t="str">
        <x:v>CC-T017</x:v>
      </x:c>
      <x:c r="C72" s="3" t="n">
        <x:v>3</x:v>
      </x:c>
      <x:c r="D72" s="3" t="str">
        <x:v>Verify extend the shared browser interface against every acceptance criterion.
1. Desktop and browser workflows use the same data.
2. Rapid Garage switching does not display another vehicle’s result.
3. Keyboard navigation and visible focus work.
4. Loading, empty, failure, unknown-applicability and cancelled states are covered.
5. No CDN is needed.</x:v>
      </x:c>
      <x:c r="E72" s="7" t="str">
        <x:v>Not started</x:v>
      </x:c>
      <x:c r="F72" s="7" t="str"/>
      <x:c r="G72" s="3" t="str">
        <x:v>python -m pytest -q tests/acceptance/test_workspace_ui.py
All applicable acceptance criteria pass; separately record manual-source, hardware or clean-installation observations when required.</x:v>
      </x:c>
      <x:c r="H72" s="3" t="str">
        <x:v>Local development</x:v>
      </x:c>
      <x:c r="I72" s="7" t="str"/>
      <x:c r="J72" s="3" t="str">
        <x:v>Engineering</x:v>
      </x:c>
      <x:c r="K72" s="3" t="str">
        <x:v>Initial</x:v>
      </x:c>
      <x:c r="L72" s="3" t="str">
        <x:v>["CC-T017-S02"]</x:v>
      </x:c>
      <x:c r="M72" s="3" t="str">
        <x:v>[]</x:v>
      </x:c>
      <x:c r="N72" s="3" t="str">
        <x:v>["CC-E071"]</x:v>
      </x:c>
      <x:c r="O72" s="3" t="str">
        <x:v>Desktop and browser workflows use the same data.
Rapid Garage switching does not display another vehicle’s result.
Keyboard navigation and visible focus work.
Loading, empty, failure, unknown-applicability and cancelled states are covered.
No CDN is needed.</x:v>
      </x:c>
      <x:c r="P72" s="3" t="str">
        <x:v>["evidence/CC-T017/verification/"]</x:v>
      </x:c>
      <x:c r="Q72" s="3" t="str">
        <x:v>CC_Workshop_Implementation_Plan.md#cc-t017--extend-the-shared-browser-interface</x:v>
      </x:c>
      <x:c r="R72" s="8" t="n">
        <x:v>46275.51530535879</x:v>
      </x:c>
      <x:c r="S72" s="8" t="str"/>
      <x:c r="T72" s="8" t="str"/>
      <x:c r="U72" s="7" t="str"/>
      <x:c r="V72" s="7" t="str"/>
      <x:c r="W72" s="7" t="str"/>
      <x:c r="X72" s="7" t="str"/>
    </x:row>
    <x:row r="73" ht="54" customHeight="1">
      <x:c r="A73" s="3" t="str">
        <x:v>CC-T017-S04</x:v>
      </x:c>
      <x:c r="B73" s="3" t="str">
        <x:v>CC-T017</x:v>
      </x:c>
      <x:c r="C73" s="3" t="n">
        <x:v>4</x:v>
      </x:c>
      <x:c r="D73" s="3" t="str">
        <x:v>Review extend the shared browser interface, reconcile its evidence and handover, and record the commit if one is created.</x:v>
      </x:c>
      <x:c r="E73" s="7" t="str">
        <x:v>Not started</x:v>
      </x:c>
      <x:c r="F73" s="7" t="str"/>
      <x:c r="G73" s="3" t="str">
        <x:v>Independent review and all required evidence resolve task acceptance; tracker and handover agree. Record only an existing commit.</x:v>
      </x:c>
      <x:c r="H73" s="3" t="str">
        <x:v>Local development</x:v>
      </x:c>
      <x:c r="I73" s="7" t="str"/>
      <x:c r="J73" s="3" t="str">
        <x:v>Engineering</x:v>
      </x:c>
      <x:c r="K73" s="3" t="str">
        <x:v>Initial</x:v>
      </x:c>
      <x:c r="L73" s="3" t="str">
        <x:v>["CC-T017-S03"]</x:v>
      </x:c>
      <x:c r="M73" s="3" t="str">
        <x:v>[]</x:v>
      </x:c>
      <x:c r="N73" s="3" t="str">
        <x:v>["CC-E072"]</x:v>
      </x:c>
      <x:c r="O73" s="3" t="str">
        <x:v>Review findings resolved or explicitly recorded; evidence links valid; tracker consistent; commit field is blank or identifies an actual commit.</x:v>
      </x:c>
      <x:c r="P73" s="3" t="str">
        <x:v>["evidence/CC-T017/review/"]</x:v>
      </x:c>
      <x:c r="Q73" s="3" t="str">
        <x:v>CC_Workshop_Implementation_Plan.md#cc-t017--extend-the-shared-browser-interface</x:v>
      </x:c>
      <x:c r="R73" s="8" t="n">
        <x:v>46275.51530535879</x:v>
      </x:c>
      <x:c r="S73" s="8" t="str"/>
      <x:c r="T73" s="8" t="str"/>
      <x:c r="U73" s="7" t="str"/>
      <x:c r="V73" s="7" t="str"/>
      <x:c r="W73" s="7" t="str"/>
      <x:c r="X73" s="7" t="str"/>
    </x:row>
    <x:row r="74" ht="96" customHeight="1">
      <x:c r="A74" s="3" t="str">
        <x:v>CC-T018-S01</x:v>
      </x:c>
      <x:c r="B74" s="3" t="str">
        <x:v>CC-T018</x:v>
      </x:c>
      <x:c r="C74" s="3" t="n">
        <x:v>1</x:v>
      </x:c>
      <x:c r="D74" s="3" t="str">
        <x:v>Establish regression and acceptance fixtures for add the original-source viewer.
1. Each test citation opens the correct source and page.
2. A citation cannot open another Garage’s private file.
3. Highlight coordinates remain correct after scaling.
4. Transformed-copy references resolve through the page map.
5. Source access works offline.</x:v>
      </x:c>
      <x:c r="E74" s="7" t="str">
        <x:v>Not started</x:v>
      </x:c>
      <x:c r="F74" s="7" t="str"/>
      <x:c r="G74" s="3" t="str">
        <x:v>python -m pytest -q tests/acceptance/test_source_viewer.py
Confirm the relevant missing or incorrect behavior for the task's acceptance criteria; record the actual failing behavior and command result.</x:v>
      </x:c>
      <x:c r="H74" s="3" t="str">
        <x:v>Local development</x:v>
      </x:c>
      <x:c r="I74" s="7" t="str"/>
      <x:c r="J74" s="3" t="str">
        <x:v>Engineering</x:v>
      </x:c>
      <x:c r="K74" s="3" t="str">
        <x:v>Initial</x:v>
      </x:c>
      <x:c r="L74" s="3" t="str">
        <x:v>[]</x:v>
      </x:c>
      <x:c r="M74" s="3" t="str">
        <x:v>[]</x:v>
      </x:c>
      <x:c r="N74" s="3" t="str">
        <x:v>["CC-E073"]</x:v>
      </x:c>
      <x:c r="O74" s="3" t="str">
        <x:v>Fixtures cover these expected behaviors and demonstrate the relevant baseline gap:
Each test citation opens the correct source and page.
A citation cannot open another Garage’s private file.
Highlight coordinates remain correct after scaling.
Transformed-copy references resolve through the page map.
Source access works offline.</x:v>
      </x:c>
      <x:c r="P74" s="3" t="str">
        <x:v>["tests/acceptance/test_source_viewer.py"]</x:v>
      </x:c>
      <x:c r="Q74" s="3" t="str">
        <x:v>CC_Workshop_Implementation_Plan.md#cc-t018--add-the-original-source-viewer</x:v>
      </x:c>
      <x:c r="R74" s="8" t="n">
        <x:v>46275.51530535879</x:v>
      </x:c>
      <x:c r="S74" s="8" t="str"/>
      <x:c r="T74" s="8" t="str"/>
      <x:c r="U74" s="7" t="str"/>
      <x:c r="V74" s="7" t="str"/>
      <x:c r="W74" s="7" t="str"/>
      <x:c r="X74" s="7" t="str"/>
    </x:row>
    <x:row r="75" ht="84" customHeight="1">
      <x:c r="A75" s="3" t="str">
        <x:v>CC-T018-S02</x:v>
      </x:c>
      <x:c r="B75" s="3" t="str">
        <x:v>CC-T018</x:v>
      </x:c>
      <x:c r="C75" s="3" t="n">
        <x:v>2</x:v>
      </x:c>
      <x:c r="D75" s="3" t="str">
        <x:v>Implement add the original-source viewer.
1. Bundle PDF.js.
2. Open exact original pages from evidence IDs.
3. Highlight supported regions.
4. Show printed labels alongside physical page positions.
5. Authorize every source request.</x:v>
      </x:c>
      <x:c r="E75" s="7" t="str">
        <x:v>Not started</x:v>
      </x:c>
      <x:c r="F75" s="7" t="str"/>
      <x:c r="G75" s="3" t="str">
        <x:v>Implementation covers the task-specific behavior; no claim of verification is made until S03.</x:v>
      </x:c>
      <x:c r="H75" s="3" t="str">
        <x:v>Local development</x:v>
      </x:c>
      <x:c r="I75" s="7" t="str"/>
      <x:c r="J75" s="3" t="str">
        <x:v>Engineering</x:v>
      </x:c>
      <x:c r="K75" s="3" t="str">
        <x:v>Initial</x:v>
      </x:c>
      <x:c r="L75" s="3" t="str">
        <x:v>["CC-T018-S01"]</x:v>
      </x:c>
      <x:c r="M75" s="3" t="str">
        <x:v>[]</x:v>
      </x:c>
      <x:c r="N75" s="3" t="str">
        <x:v>["CC-E074"]</x:v>
      </x:c>
      <x:c r="O75" s="3" t="str">
        <x:v>Bundle PDF.js.
Open exact original pages from evidence IDs.
Highlight supported regions.
Show printed labels alongside physical page positions.
Authorize every source request.</x:v>
      </x:c>
      <x:c r="P75" s="3" t="str">
        <x:v>[]</x:v>
      </x:c>
      <x:c r="Q75" s="3" t="str">
        <x:v>CC_Workshop_Implementation_Plan.md#cc-t018--add-the-original-source-viewer</x:v>
      </x:c>
      <x:c r="R75" s="8" t="n">
        <x:v>46275.51530535879</x:v>
      </x:c>
      <x:c r="S75" s="8" t="str"/>
      <x:c r="T75" s="8" t="str"/>
      <x:c r="U75" s="7" t="str"/>
      <x:c r="V75" s="7" t="str"/>
      <x:c r="W75" s="7" t="str"/>
      <x:c r="X75" s="7" t="str"/>
    </x:row>
    <x:row r="76" ht="84" customHeight="1">
      <x:c r="A76" s="3" t="str">
        <x:v>CC-T018-S03</x:v>
      </x:c>
      <x:c r="B76" s="3" t="str">
        <x:v>CC-T018</x:v>
      </x:c>
      <x:c r="C76" s="3" t="n">
        <x:v>3</x:v>
      </x:c>
      <x:c r="D76" s="3" t="str">
        <x:v>Verify add the original-source viewer against every acceptance criterion.
1. Each test citation opens the correct source and page.
2. A citation cannot open another Garage’s private file.
3. Highlight coordinates remain correct after scaling.
4. Transformed-copy references resolve through the page map.
5. Source access works offline.</x:v>
      </x:c>
      <x:c r="E76" s="7" t="str">
        <x:v>Not started</x:v>
      </x:c>
      <x:c r="F76" s="7" t="str"/>
      <x:c r="G76" s="3" t="str">
        <x:v>python -m pytest -q tests/acceptance/test_source_viewer.py
All applicable acceptance criteria pass; separately record manual-source, hardware or clean-installation observations when required.</x:v>
      </x:c>
      <x:c r="H76" s="3" t="str">
        <x:v>Local development</x:v>
      </x:c>
      <x:c r="I76" s="7" t="str"/>
      <x:c r="J76" s="3" t="str">
        <x:v>Engineering</x:v>
      </x:c>
      <x:c r="K76" s="3" t="str">
        <x:v>Initial</x:v>
      </x:c>
      <x:c r="L76" s="3" t="str">
        <x:v>["CC-T018-S02"]</x:v>
      </x:c>
      <x:c r="M76" s="3" t="str">
        <x:v>[]</x:v>
      </x:c>
      <x:c r="N76" s="3" t="str">
        <x:v>["CC-E075"]</x:v>
      </x:c>
      <x:c r="O76" s="3" t="str">
        <x:v>Each test citation opens the correct source and page.
A citation cannot open another Garage’s private file.
Highlight coordinates remain correct after scaling.
Transformed-copy references resolve through the page map.
Source access works offline.</x:v>
      </x:c>
      <x:c r="P76" s="3" t="str">
        <x:v>["evidence/CC-T018/verification/"]</x:v>
      </x:c>
      <x:c r="Q76" s="3" t="str">
        <x:v>CC_Workshop_Implementation_Plan.md#cc-t018--add-the-original-source-viewer</x:v>
      </x:c>
      <x:c r="R76" s="8" t="n">
        <x:v>46275.51530535879</x:v>
      </x:c>
      <x:c r="S76" s="8" t="str"/>
      <x:c r="T76" s="8" t="str"/>
      <x:c r="U76" s="7" t="str"/>
      <x:c r="V76" s="7" t="str"/>
      <x:c r="W76" s="7" t="str"/>
      <x:c r="X76" s="7" t="str"/>
    </x:row>
    <x:row r="77" ht="54" customHeight="1">
      <x:c r="A77" s="3" t="str">
        <x:v>CC-T018-S04</x:v>
      </x:c>
      <x:c r="B77" s="3" t="str">
        <x:v>CC-T018</x:v>
      </x:c>
      <x:c r="C77" s="3" t="n">
        <x:v>4</x:v>
      </x:c>
      <x:c r="D77" s="3" t="str">
        <x:v>Review add the original-source viewer, reconcile its evidence and handover, and record the commit if one is created.</x:v>
      </x:c>
      <x:c r="E77" s="7" t="str">
        <x:v>Not started</x:v>
      </x:c>
      <x:c r="F77" s="7" t="str"/>
      <x:c r="G77" s="3" t="str">
        <x:v>Independent review and all required evidence resolve task acceptance; tracker and handover agree. Record only an existing commit.</x:v>
      </x:c>
      <x:c r="H77" s="3" t="str">
        <x:v>Local development</x:v>
      </x:c>
      <x:c r="I77" s="7" t="str"/>
      <x:c r="J77" s="3" t="str">
        <x:v>Engineering</x:v>
      </x:c>
      <x:c r="K77" s="3" t="str">
        <x:v>Initial</x:v>
      </x:c>
      <x:c r="L77" s="3" t="str">
        <x:v>["CC-T018-S03"]</x:v>
      </x:c>
      <x:c r="M77" s="3" t="str">
        <x:v>[]</x:v>
      </x:c>
      <x:c r="N77" s="3" t="str">
        <x:v>["CC-E076"]</x:v>
      </x:c>
      <x:c r="O77" s="3" t="str">
        <x:v>Review findings resolved or explicitly recorded; evidence links valid; tracker consistent; commit field is blank or identifies an actual commit.</x:v>
      </x:c>
      <x:c r="P77" s="3" t="str">
        <x:v>["evidence/CC-T018/review/"]</x:v>
      </x:c>
      <x:c r="Q77" s="3" t="str">
        <x:v>CC_Workshop_Implementation_Plan.md#cc-t018--add-the-original-source-viewer</x:v>
      </x:c>
      <x:c r="R77" s="8" t="n">
        <x:v>46275.51530535879</x:v>
      </x:c>
      <x:c r="S77" s="8" t="str"/>
      <x:c r="T77" s="8" t="str"/>
      <x:c r="U77" s="7" t="str"/>
      <x:c r="V77" s="7" t="str"/>
      <x:c r="W77" s="7" t="str"/>
      <x:c r="X77" s="7" t="str"/>
    </x:row>
    <x:row r="78" ht="96" customHeight="1">
      <x:c r="A78" s="3" t="str">
        <x:v>CC-T019-S01</x:v>
      </x:c>
      <x:c r="B78" s="3" t="str">
        <x:v>CC-T019</x:v>
      </x:c>
      <x:c r="C78" s="3" t="n">
        <x:v>1</x:v>
      </x:c>
      <x:c r="D78" s="3" t="str">
        <x:v>Establish regression and acceptance fixtures for compile and review complete procedures.
1. A correct torque does not compensate for a missing warning.
2. Missing replacement instructions prevent complete approval.
3. A changed source or vehicle profile invalidates dependent approval.
4. Unapproved procedures remain visibly drafts.
5. Full supporting source context is accessible during review.</x:v>
      </x:c>
      <x:c r="E78" s="7" t="str">
        <x:v>Not started</x:v>
      </x:c>
      <x:c r="F78" s="7" t="str"/>
      <x:c r="G78" s="3" t="str">
        <x:v>python -m pytest -q tests/acceptance/test_procedure_completeness.py
Confirm the relevant missing or incorrect behavior for the task's acceptance criteria; record the actual failing behavior and command result.</x:v>
      </x:c>
      <x:c r="H78" s="3" t="str">
        <x:v>Local development</x:v>
      </x:c>
      <x:c r="I78" s="7" t="str"/>
      <x:c r="J78" s="3" t="str">
        <x:v>Engineering</x:v>
      </x:c>
      <x:c r="K78" s="3" t="str">
        <x:v>Initial</x:v>
      </x:c>
      <x:c r="L78" s="3" t="str">
        <x:v>[]</x:v>
      </x:c>
      <x:c r="M78" s="3" t="str">
        <x:v>[]</x:v>
      </x:c>
      <x:c r="N78" s="3" t="str">
        <x:v>["CC-E077"]</x:v>
      </x:c>
      <x:c r="O78" s="3" t="str">
        <x:v>Fixtures cover these expected behaviors and demonstrate the relevant baseline gap:
A correct torque does not compensate for a missing warning.
Missing replacement instructions prevent complete approval.
A changed source or vehicle profile invalidates dependent approval.
Unapproved procedures remain visibly drafts.
Full supporting source context is accessible during review.</x:v>
      </x:c>
      <x:c r="P78" s="3" t="str">
        <x:v>["tests/acceptance/test_procedure_completeness.py"]</x:v>
      </x:c>
      <x:c r="Q78" s="3" t="str">
        <x:v>CC_Workshop_Implementation_Plan.md#cc-t019--compile-and-review-complete-procedures</x:v>
      </x:c>
      <x:c r="R78" s="8" t="n">
        <x:v>46275.51530535879</x:v>
      </x:c>
      <x:c r="S78" s="8" t="str"/>
      <x:c r="T78" s="8" t="str"/>
      <x:c r="U78" s="7" t="str"/>
      <x:c r="V78" s="7" t="str"/>
      <x:c r="W78" s="7" t="str"/>
      <x:c r="X78" s="7" t="str"/>
    </x:row>
    <x:row r="79" ht="84" customHeight="1">
      <x:c r="A79" s="3" t="str">
        <x:v>CC-T019-S02</x:v>
      </x:c>
      <x:c r="B79" s="3" t="str">
        <x:v>CC-T019</x:v>
      </x:c>
      <x:c r="C79" s="3" t="n">
        <x:v>2</x:v>
      </x:c>
      <x:c r="D79" s="3" t="str">
        <x:v>Implement compile and review complete procedures.
1. Assemble prerequisites, tools, warnings, steps, specifications and final checks.
2. Link every material instruction to evidence.
3. Track draft, approved and stale states.
4. Add review of missing dependencies and source conflicts.</x:v>
      </x:c>
      <x:c r="E79" s="7" t="str">
        <x:v>Not started</x:v>
      </x:c>
      <x:c r="F79" s="7" t="str"/>
      <x:c r="G79" s="3" t="str">
        <x:v>Implementation covers the task-specific behavior; no claim of verification is made until S03.</x:v>
      </x:c>
      <x:c r="H79" s="3" t="str">
        <x:v>Local development</x:v>
      </x:c>
      <x:c r="I79" s="7" t="str"/>
      <x:c r="J79" s="3" t="str">
        <x:v>Engineering</x:v>
      </x:c>
      <x:c r="K79" s="3" t="str">
        <x:v>Initial</x:v>
      </x:c>
      <x:c r="L79" s="3" t="str">
        <x:v>["CC-T019-S01"]</x:v>
      </x:c>
      <x:c r="M79" s="3" t="str">
        <x:v>[]</x:v>
      </x:c>
      <x:c r="N79" s="3" t="str">
        <x:v>["CC-E078"]</x:v>
      </x:c>
      <x:c r="O79" s="3" t="str">
        <x:v>Assemble prerequisites, tools, warnings, steps, specifications and final checks.
Link every material instruction to evidence.
Track draft, approved and stale states.
Add review of missing dependencies and source conflicts.</x:v>
      </x:c>
      <x:c r="P79" s="3" t="str">
        <x:v>[]</x:v>
      </x:c>
      <x:c r="Q79" s="3" t="str">
        <x:v>CC_Workshop_Implementation_Plan.md#cc-t019--compile-and-review-complete-procedures</x:v>
      </x:c>
      <x:c r="R79" s="8" t="n">
        <x:v>46275.51530535879</x:v>
      </x:c>
      <x:c r="S79" s="8" t="str"/>
      <x:c r="T79" s="8" t="str"/>
      <x:c r="U79" s="7" t="str"/>
      <x:c r="V79" s="7" t="str"/>
      <x:c r="W79" s="7" t="str"/>
      <x:c r="X79" s="7" t="str"/>
    </x:row>
    <x:row r="80" ht="96" customHeight="1">
      <x:c r="A80" s="3" t="str">
        <x:v>CC-T019-S03</x:v>
      </x:c>
      <x:c r="B80" s="3" t="str">
        <x:v>CC-T019</x:v>
      </x:c>
      <x:c r="C80" s="3" t="n">
        <x:v>3</x:v>
      </x:c>
      <x:c r="D80" s="3" t="str">
        <x:v>Verify compile and review complete procedures against every acceptance criterion.
1. A correct torque does not compensate for a missing warning.
2. Missing replacement instructions prevent complete approval.
3. A changed source or vehicle profile invalidates dependent approval.
4. Unapproved procedures remain visibly drafts.
5. Full supporting source context is accessible during review.</x:v>
      </x:c>
      <x:c r="E80" s="7" t="str">
        <x:v>Not started</x:v>
      </x:c>
      <x:c r="F80" s="7" t="str"/>
      <x:c r="G80" s="3" t="str">
        <x:v>python -m pytest -q tests/acceptance/test_procedure_completeness.py
All applicable acceptance criteria pass; separately record manual-source, hardware or clean-installation observations when required.</x:v>
      </x:c>
      <x:c r="H80" s="3" t="str">
        <x:v>Local development</x:v>
      </x:c>
      <x:c r="I80" s="7" t="str"/>
      <x:c r="J80" s="3" t="str">
        <x:v>Engineering</x:v>
      </x:c>
      <x:c r="K80" s="3" t="str">
        <x:v>Initial</x:v>
      </x:c>
      <x:c r="L80" s="3" t="str">
        <x:v>["CC-T019-S02"]</x:v>
      </x:c>
      <x:c r="M80" s="3" t="str">
        <x:v>[]</x:v>
      </x:c>
      <x:c r="N80" s="3" t="str">
        <x:v>["CC-E079"]</x:v>
      </x:c>
      <x:c r="O80" s="3" t="str">
        <x:v>A correct torque does not compensate for a missing warning.
Missing replacement instructions prevent complete approval.
A changed source or vehicle profile invalidates dependent approval.
Unapproved procedures remain visibly drafts.
Full supporting source context is accessible during review.</x:v>
      </x:c>
      <x:c r="P80" s="3" t="str">
        <x:v>["evidence/CC-T019/verification/"]</x:v>
      </x:c>
      <x:c r="Q80" s="3" t="str">
        <x:v>CC_Workshop_Implementation_Plan.md#cc-t019--compile-and-review-complete-procedures</x:v>
      </x:c>
      <x:c r="R80" s="8" t="n">
        <x:v>46275.51530535879</x:v>
      </x:c>
      <x:c r="S80" s="8" t="str"/>
      <x:c r="T80" s="8" t="str"/>
      <x:c r="U80" s="7" t="str"/>
      <x:c r="V80" s="7" t="str"/>
      <x:c r="W80" s="7" t="str"/>
      <x:c r="X80" s="7" t="str"/>
    </x:row>
    <x:row r="81" ht="54" customHeight="1">
      <x:c r="A81" s="3" t="str">
        <x:v>CC-T019-S04</x:v>
      </x:c>
      <x:c r="B81" s="3" t="str">
        <x:v>CC-T019</x:v>
      </x:c>
      <x:c r="C81" s="3" t="n">
        <x:v>4</x:v>
      </x:c>
      <x:c r="D81" s="3" t="str">
        <x:v>Review compile and review complete procedures, reconcile its evidence and handover, and record the commit if one is created.</x:v>
      </x:c>
      <x:c r="E81" s="7" t="str">
        <x:v>Not started</x:v>
      </x:c>
      <x:c r="F81" s="7" t="str"/>
      <x:c r="G81" s="3" t="str">
        <x:v>Independent review and all required evidence resolve task acceptance; tracker and handover agree. Record only an existing commit.</x:v>
      </x:c>
      <x:c r="H81" s="3" t="str">
        <x:v>Local development</x:v>
      </x:c>
      <x:c r="I81" s="7" t="str"/>
      <x:c r="J81" s="3" t="str">
        <x:v>Engineering</x:v>
      </x:c>
      <x:c r="K81" s="3" t="str">
        <x:v>Initial</x:v>
      </x:c>
      <x:c r="L81" s="3" t="str">
        <x:v>["CC-T019-S03"]</x:v>
      </x:c>
      <x:c r="M81" s="3" t="str">
        <x:v>[]</x:v>
      </x:c>
      <x:c r="N81" s="3" t="str">
        <x:v>["CC-E080"]</x:v>
      </x:c>
      <x:c r="O81" s="3" t="str">
        <x:v>Review findings resolved or explicitly recorded; evidence links valid; tracker consistent; commit field is blank or identifies an actual commit.</x:v>
      </x:c>
      <x:c r="P81" s="3" t="str">
        <x:v>["evidence/CC-T019/review/"]</x:v>
      </x:c>
      <x:c r="Q81" s="3" t="str">
        <x:v>CC_Workshop_Implementation_Plan.md#cc-t019--compile-and-review-complete-procedures</x:v>
      </x:c>
      <x:c r="R81" s="8" t="n">
        <x:v>46275.51530535879</x:v>
      </x:c>
      <x:c r="S81" s="8" t="str"/>
      <x:c r="T81" s="8" t="str"/>
      <x:c r="U81" s="7" t="str"/>
      <x:c r="V81" s="7" t="str"/>
      <x:c r="W81" s="7" t="str"/>
      <x:c r="X81" s="7" t="str"/>
    </x:row>
    <x:row r="82" ht="96" customHeight="1">
      <x:c r="A82" s="3" t="str">
        <x:v>CC-T020-S01</x:v>
      </x:c>
      <x:c r="B82" s="3" t="str">
        <x:v>CC-T020</x:v>
      </x:c>
      <x:c r="C82" s="3" t="n">
        <x:v>1</x:v>
      </x:c>
      <x:c r="D82" s="3" t="str">
        <x:v>Establish regression and acceptance fixtures for implement deterministic diagram and export modules.
1. Exported values match approved specification records.
2. Legends, orientation and page references remain readable.
3. No cross-Garage figures or data appear.
4. Printed output remains understandable without a running application.
5. Missing figures do not trigger invented diagrams.</x:v>
      </x:c>
      <x:c r="E82" s="7" t="str">
        <x:v>Not started</x:v>
      </x:c>
      <x:c r="F82" s="7" t="str"/>
      <x:c r="G82" s="3" t="str">
        <x:v>python -m pytest -q tests/acceptance/test_guide_exports.py
Confirm the relevant missing or incorrect behavior for the task's acceptance criteria; record the actual failing behavior and command result.</x:v>
      </x:c>
      <x:c r="H82" s="3" t="str">
        <x:v>Local development</x:v>
      </x:c>
      <x:c r="I82" s="7" t="str"/>
      <x:c r="J82" s="3" t="str">
        <x:v>Engineering</x:v>
      </x:c>
      <x:c r="K82" s="3" t="str">
        <x:v>Initial</x:v>
      </x:c>
      <x:c r="L82" s="3" t="str">
        <x:v>[]</x:v>
      </x:c>
      <x:c r="M82" s="3" t="str">
        <x:v>[]</x:v>
      </x:c>
      <x:c r="N82" s="3" t="str">
        <x:v>["CC-E081"]</x:v>
      </x:c>
      <x:c r="O82" s="3" t="str">
        <x:v>Fixtures cover these expected behaviors and demonstrate the relevant baseline gap:
Exported values match approved specification records.
Legends, orientation and page references remain readable.
No cross-Garage figures or data appear.
Printed output remains understandable without a running application.
Missing figures do not trigger invented diagrams.</x:v>
      </x:c>
      <x:c r="P82" s="3" t="str">
        <x:v>["tests/acceptance/test_guide_exports.py"]</x:v>
      </x:c>
      <x:c r="Q82" s="3" t="str">
        <x:v>CC_Workshop_Implementation_Plan.md#cc-t020--implement-deterministic-diagram-and-export-modules</x:v>
      </x:c>
      <x:c r="R82" s="8" t="n">
        <x:v>46275.51530535879</x:v>
      </x:c>
      <x:c r="S82" s="8" t="str"/>
      <x:c r="T82" s="8" t="str"/>
      <x:c r="U82" s="7" t="str"/>
      <x:c r="V82" s="7" t="str"/>
      <x:c r="W82" s="7" t="str"/>
      <x:c r="X82" s="7" t="str"/>
    </x:row>
    <x:row r="83" ht="84" customHeight="1">
      <x:c r="A83" s="3" t="str">
        <x:v>CC-T020-S02</x:v>
      </x:c>
      <x:c r="B83" s="3" t="str">
        <x:v>CC-T020</x:v>
      </x:c>
      <x:c r="C83" s="3" t="n">
        <x:v>2</x:v>
      </x:c>
      <x:c r="D83" s="3" t="str">
        <x:v>Implement implement deterministic diagram and export modules.
1. Implement the versioned diagram contract.
2. Compose original figures and typed text.
3. Generate PDF, PNG, procedure JSON and source manifests.
4. Keep unsupported visual steps as cited text.
5. Validate export destination ownership.</x:v>
      </x:c>
      <x:c r="E83" s="7" t="str">
        <x:v>Not started</x:v>
      </x:c>
      <x:c r="F83" s="7" t="str"/>
      <x:c r="G83" s="3" t="str">
        <x:v>Implementation covers the task-specific behavior; no claim of verification is made until S03.</x:v>
      </x:c>
      <x:c r="H83" s="3" t="str">
        <x:v>Local development</x:v>
      </x:c>
      <x:c r="I83" s="7" t="str"/>
      <x:c r="J83" s="3" t="str">
        <x:v>Engineering</x:v>
      </x:c>
      <x:c r="K83" s="3" t="str">
        <x:v>Initial</x:v>
      </x:c>
      <x:c r="L83" s="3" t="str">
        <x:v>["CC-T020-S01"]</x:v>
      </x:c>
      <x:c r="M83" s="3" t="str">
        <x:v>[]</x:v>
      </x:c>
      <x:c r="N83" s="3" t="str">
        <x:v>["CC-E082"]</x:v>
      </x:c>
      <x:c r="O83" s="3" t="str">
        <x:v>Implement the versioned diagram contract.
Compose original figures and typed text.
Generate PDF, PNG, procedure JSON and source manifests.
Keep unsupported visual steps as cited text.
Validate export destination ownership.</x:v>
      </x:c>
      <x:c r="P83" s="3" t="str">
        <x:v>[]</x:v>
      </x:c>
      <x:c r="Q83" s="3" t="str">
        <x:v>CC_Workshop_Implementation_Plan.md#cc-t020--implement-deterministic-diagram-and-export-modules</x:v>
      </x:c>
      <x:c r="R83" s="8" t="n">
        <x:v>46275.51530535879</x:v>
      </x:c>
      <x:c r="S83" s="8" t="str"/>
      <x:c r="T83" s="8" t="str"/>
      <x:c r="U83" s="7" t="str"/>
      <x:c r="V83" s="7" t="str"/>
      <x:c r="W83" s="7" t="str"/>
      <x:c r="X83" s="7" t="str"/>
    </x:row>
    <x:row r="84" ht="96" customHeight="1">
      <x:c r="A84" s="3" t="str">
        <x:v>CC-T020-S03</x:v>
      </x:c>
      <x:c r="B84" s="3" t="str">
        <x:v>CC-T020</x:v>
      </x:c>
      <x:c r="C84" s="3" t="n">
        <x:v>3</x:v>
      </x:c>
      <x:c r="D84" s="3" t="str">
        <x:v>Verify implement deterministic diagram and export modules against every acceptance criterion.
1. Exported values match approved specification records.
2. Legends, orientation and page references remain readable.
3. No cross-Garage figures or data appear.
4. Printed output remains understandable without a running application.
5. Missing figures do not trigger invented diagrams.</x:v>
      </x:c>
      <x:c r="E84" s="7" t="str">
        <x:v>Not started</x:v>
      </x:c>
      <x:c r="F84" s="7" t="str"/>
      <x:c r="G84" s="3" t="str">
        <x:v>python -m pytest -q tests/acceptance/test_guide_exports.py
All applicable acceptance criteria pass; separately record manual-source, hardware or clean-installation observations when required.</x:v>
      </x:c>
      <x:c r="H84" s="3" t="str">
        <x:v>Local development</x:v>
      </x:c>
      <x:c r="I84" s="7" t="str"/>
      <x:c r="J84" s="3" t="str">
        <x:v>Engineering</x:v>
      </x:c>
      <x:c r="K84" s="3" t="str">
        <x:v>Initial</x:v>
      </x:c>
      <x:c r="L84" s="3" t="str">
        <x:v>["CC-T020-S02"]</x:v>
      </x:c>
      <x:c r="M84" s="3" t="str">
        <x:v>[]</x:v>
      </x:c>
      <x:c r="N84" s="3" t="str">
        <x:v>["CC-E083"]</x:v>
      </x:c>
      <x:c r="O84" s="3" t="str">
        <x:v>Exported values match approved specification records.
Legends, orientation and page references remain readable.
No cross-Garage figures or data appear.
Printed output remains understandable without a running application.
Missing figures do not trigger invented diagrams.</x:v>
      </x:c>
      <x:c r="P84" s="3" t="str">
        <x:v>["evidence/CC-T020/verification/"]</x:v>
      </x:c>
      <x:c r="Q84" s="3" t="str">
        <x:v>CC_Workshop_Implementation_Plan.md#cc-t020--implement-deterministic-diagram-and-export-modules</x:v>
      </x:c>
      <x:c r="R84" s="8" t="n">
        <x:v>46275.51530535879</x:v>
      </x:c>
      <x:c r="S84" s="8" t="str"/>
      <x:c r="T84" s="8" t="str"/>
      <x:c r="U84" s="7" t="str"/>
      <x:c r="V84" s="7" t="str"/>
      <x:c r="W84" s="7" t="str"/>
      <x:c r="X84" s="7" t="str"/>
    </x:row>
    <x:row r="85" ht="54" customHeight="1">
      <x:c r="A85" s="3" t="str">
        <x:v>CC-T020-S04</x:v>
      </x:c>
      <x:c r="B85" s="3" t="str">
        <x:v>CC-T020</x:v>
      </x:c>
      <x:c r="C85" s="3" t="n">
        <x:v>4</x:v>
      </x:c>
      <x:c r="D85" s="3" t="str">
        <x:v>Review implement deterministic diagram and export modules, reconcile its evidence and handover, and record the commit if one is created.</x:v>
      </x:c>
      <x:c r="E85" s="7" t="str">
        <x:v>Not started</x:v>
      </x:c>
      <x:c r="F85" s="7" t="str"/>
      <x:c r="G85" s="3" t="str">
        <x:v>Independent review and all required evidence resolve task acceptance; tracker and handover agree. Record only an existing commit.</x:v>
      </x:c>
      <x:c r="H85" s="3" t="str">
        <x:v>Local development</x:v>
      </x:c>
      <x:c r="I85" s="7" t="str"/>
      <x:c r="J85" s="3" t="str">
        <x:v>Engineering</x:v>
      </x:c>
      <x:c r="K85" s="3" t="str">
        <x:v>Initial</x:v>
      </x:c>
      <x:c r="L85" s="3" t="str">
        <x:v>["CC-T020-S03"]</x:v>
      </x:c>
      <x:c r="M85" s="3" t="str">
        <x:v>[]</x:v>
      </x:c>
      <x:c r="N85" s="3" t="str">
        <x:v>["CC-E084"]</x:v>
      </x:c>
      <x:c r="O85" s="3" t="str">
        <x:v>Review findings resolved or explicitly recorded; evidence links valid; tracker consistent; commit field is blank or identifies an actual commit.</x:v>
      </x:c>
      <x:c r="P85" s="3" t="str">
        <x:v>["evidence/CC-T020/review/"]</x:v>
      </x:c>
      <x:c r="Q85" s="3" t="str">
        <x:v>CC_Workshop_Implementation_Plan.md#cc-t020--implement-deterministic-diagram-and-export-modules</x:v>
      </x:c>
      <x:c r="R85" s="8" t="n">
        <x:v>46275.51530535879</x:v>
      </x:c>
      <x:c r="S85" s="8" t="str"/>
      <x:c r="T85" s="8" t="str"/>
      <x:c r="U85" s="7" t="str"/>
      <x:c r="V85" s="7" t="str"/>
      <x:c r="W85" s="7" t="str"/>
      <x:c r="X85" s="7" t="str"/>
    </x:row>
    <x:row r="86" ht="96" customHeight="1">
      <x:c r="A86" s="3" t="str">
        <x:v>CC-T021-S01</x:v>
      </x:c>
      <x:c r="B86" s="3" t="str">
        <x:v>CC-T021</x:v>
      </x:c>
      <x:c r="C86" s="3" t="n">
        <x:v>1</x:v>
      </x:c>
      <x:c r="D86" s="3" t="str">
        <x:v>Establish regression and acceptance fixtures for import diagnostic sessions.
1. Missing acquisition times remain unknown.
2. Active, pending, historical and cleared statuses remain distinct.
3. Reimporting the same report is idempotent.
4. Malformed rows produce specific review records.
5. A filename does not supply unverified diagnostic meaning.</x:v>
      </x:c>
      <x:c r="E86" s="7" t="str">
        <x:v>Not started</x:v>
      </x:c>
      <x:c r="F86" s="7" t="str"/>
      <x:c r="G86" s="3" t="str">
        <x:v>python -m pytest -q tests/acceptance/test_scan_import.py
Confirm the relevant missing or incorrect behavior for the task's acceptance criteria; record the actual failing behavior and command result.</x:v>
      </x:c>
      <x:c r="H86" s="3" t="str">
        <x:v>Local development</x:v>
      </x:c>
      <x:c r="I86" s="7" t="str"/>
      <x:c r="J86" s="3" t="str">
        <x:v>Engineering</x:v>
      </x:c>
      <x:c r="K86" s="3" t="str">
        <x:v>Initial</x:v>
      </x:c>
      <x:c r="L86" s="3" t="str">
        <x:v>[]</x:v>
      </x:c>
      <x:c r="M86" s="3" t="str">
        <x:v>[]</x:v>
      </x:c>
      <x:c r="N86" s="3" t="str">
        <x:v>["CC-E085"]</x:v>
      </x:c>
      <x:c r="O86" s="3" t="str">
        <x:v>Fixtures cover these expected behaviors and demonstrate the relevant baseline gap:
Missing acquisition times remain unknown.
Active, pending, historical and cleared statuses remain distinct.
Reimporting the same report is idempotent.
Malformed rows produce specific review records.
A filename does not supply unverified diagnostic meaning.</x:v>
      </x:c>
      <x:c r="P86" s="3" t="str">
        <x:v>["tests/acceptance/test_scan_import.py"]</x:v>
      </x:c>
      <x:c r="Q86" s="3" t="str">
        <x:v>CC_Workshop_Implementation_Plan.md#cc-t021--import-diagnostic-sessions</x:v>
      </x:c>
      <x:c r="R86" s="8" t="n">
        <x:v>46275.51530535879</x:v>
      </x:c>
      <x:c r="S86" s="8" t="str"/>
      <x:c r="T86" s="8" t="str"/>
      <x:c r="U86" s="7" t="str"/>
      <x:c r="V86" s="7" t="str"/>
      <x:c r="W86" s="7" t="str"/>
      <x:c r="X86" s="7" t="str"/>
    </x:row>
    <x:row r="87" ht="84" customHeight="1">
      <x:c r="A87" s="3" t="str">
        <x:v>CC-T021-S02</x:v>
      </x:c>
      <x:c r="B87" s="3" t="str">
        <x:v>CC-T021</x:v>
      </x:c>
      <x:c r="C87" s="3" t="n">
        <x:v>2</x:v>
      </x:c>
      <x:c r="D87" s="3" t="str">
        <x:v>Implement import diagnostic sessions.
1. Reuse and test existing supported diagnostic parsers.
2. Import decoded CSV and supported report formats.
3. Preserve originals and decoder identity.
4. Store modules, code status, freeze frames and measurement metadata.
5. Quarantine unsupported proprietary files.</x:v>
      </x:c>
      <x:c r="E87" s="7" t="str">
        <x:v>Not started</x:v>
      </x:c>
      <x:c r="F87" s="7" t="str"/>
      <x:c r="G87" s="3" t="str">
        <x:v>Implementation covers the task-specific behavior; no claim of verification is made until S03.</x:v>
      </x:c>
      <x:c r="H87" s="3" t="str">
        <x:v>Local development</x:v>
      </x:c>
      <x:c r="I87" s="7" t="str"/>
      <x:c r="J87" s="3" t="str">
        <x:v>Engineering</x:v>
      </x:c>
      <x:c r="K87" s="3" t="str">
        <x:v>Initial</x:v>
      </x:c>
      <x:c r="L87" s="3" t="str">
        <x:v>["CC-T021-S01"]</x:v>
      </x:c>
      <x:c r="M87" s="3" t="str">
        <x:v>[]</x:v>
      </x:c>
      <x:c r="N87" s="3" t="str">
        <x:v>["CC-E086"]</x:v>
      </x:c>
      <x:c r="O87" s="3" t="str">
        <x:v>Reuse and test existing supported diagnostic parsers.
Import decoded CSV and supported report formats.
Preserve originals and decoder identity.
Store modules, code status, freeze frames and measurement metadata.
Quarantine unsupported proprietary files.</x:v>
      </x:c>
      <x:c r="P87" s="3" t="str">
        <x:v>[]</x:v>
      </x:c>
      <x:c r="Q87" s="3" t="str">
        <x:v>CC_Workshop_Implementation_Plan.md#cc-t021--import-diagnostic-sessions</x:v>
      </x:c>
      <x:c r="R87" s="8" t="n">
        <x:v>46275.51530535879</x:v>
      </x:c>
      <x:c r="S87" s="8" t="str"/>
      <x:c r="T87" s="8" t="str"/>
      <x:c r="U87" s="7" t="str"/>
      <x:c r="V87" s="7" t="str"/>
      <x:c r="W87" s="7" t="str"/>
      <x:c r="X87" s="7" t="str"/>
    </x:row>
    <x:row r="88" ht="84" customHeight="1">
      <x:c r="A88" s="3" t="str">
        <x:v>CC-T021-S03</x:v>
      </x:c>
      <x:c r="B88" s="3" t="str">
        <x:v>CC-T021</x:v>
      </x:c>
      <x:c r="C88" s="3" t="n">
        <x:v>3</x:v>
      </x:c>
      <x:c r="D88" s="3" t="str">
        <x:v>Verify import diagnostic sessions against every acceptance criterion.
1. Missing acquisition times remain unknown.
2. Active, pending, historical and cleared statuses remain distinct.
3. Reimporting the same report is idempotent.
4. Malformed rows produce specific review records.
5. A filename does not supply unverified diagnostic meaning.</x:v>
      </x:c>
      <x:c r="E88" s="7" t="str">
        <x:v>Not started</x:v>
      </x:c>
      <x:c r="F88" s="7" t="str"/>
      <x:c r="G88" s="3" t="str">
        <x:v>python -m pytest -q tests/acceptance/test_scan_import.py
All applicable acceptance criteria pass; separately record manual-source, hardware or clean-installation observations when required.</x:v>
      </x:c>
      <x:c r="H88" s="3" t="str">
        <x:v>Local development</x:v>
      </x:c>
      <x:c r="I88" s="7" t="str"/>
      <x:c r="J88" s="3" t="str">
        <x:v>Engineering</x:v>
      </x:c>
      <x:c r="K88" s="3" t="str">
        <x:v>Initial</x:v>
      </x:c>
      <x:c r="L88" s="3" t="str">
        <x:v>["CC-T021-S02"]</x:v>
      </x:c>
      <x:c r="M88" s="3" t="str">
        <x:v>[]</x:v>
      </x:c>
      <x:c r="N88" s="3" t="str">
        <x:v>["CC-E087"]</x:v>
      </x:c>
      <x:c r="O88" s="3" t="str">
        <x:v>Missing acquisition times remain unknown.
Active, pending, historical and cleared statuses remain distinct.
Reimporting the same report is idempotent.
Malformed rows produce specific review records.
A filename does not supply unverified diagnostic meaning.</x:v>
      </x:c>
      <x:c r="P88" s="3" t="str">
        <x:v>["evidence/CC-T021/verification/"]</x:v>
      </x:c>
      <x:c r="Q88" s="3" t="str">
        <x:v>CC_Workshop_Implementation_Plan.md#cc-t021--import-diagnostic-sessions</x:v>
      </x:c>
      <x:c r="R88" s="8" t="n">
        <x:v>46275.51530535879</x:v>
      </x:c>
      <x:c r="S88" s="8" t="str"/>
      <x:c r="T88" s="8" t="str"/>
      <x:c r="U88" s="7" t="str"/>
      <x:c r="V88" s="7" t="str"/>
      <x:c r="W88" s="7" t="str"/>
      <x:c r="X88" s="7" t="str"/>
    </x:row>
    <x:row r="89" ht="54" customHeight="1">
      <x:c r="A89" s="3" t="str">
        <x:v>CC-T021-S04</x:v>
      </x:c>
      <x:c r="B89" s="3" t="str">
        <x:v>CC-T021</x:v>
      </x:c>
      <x:c r="C89" s="3" t="n">
        <x:v>4</x:v>
      </x:c>
      <x:c r="D89" s="3" t="str">
        <x:v>Review import diagnostic sessions, reconcile its evidence and handover, and record the commit if one is created.</x:v>
      </x:c>
      <x:c r="E89" s="7" t="str">
        <x:v>Not started</x:v>
      </x:c>
      <x:c r="F89" s="7" t="str"/>
      <x:c r="G89" s="3" t="str">
        <x:v>Independent review and all required evidence resolve task acceptance; tracker and handover agree. Record only an existing commit.</x:v>
      </x:c>
      <x:c r="H89" s="3" t="str">
        <x:v>Local development</x:v>
      </x:c>
      <x:c r="I89" s="7" t="str"/>
      <x:c r="J89" s="3" t="str">
        <x:v>Engineering</x:v>
      </x:c>
      <x:c r="K89" s="3" t="str">
        <x:v>Initial</x:v>
      </x:c>
      <x:c r="L89" s="3" t="str">
        <x:v>["CC-T021-S03"]</x:v>
      </x:c>
      <x:c r="M89" s="3" t="str">
        <x:v>[]</x:v>
      </x:c>
      <x:c r="N89" s="3" t="str">
        <x:v>["CC-E088"]</x:v>
      </x:c>
      <x:c r="O89" s="3" t="str">
        <x:v>Review findings resolved or explicitly recorded; evidence links valid; tracker consistent; commit field is blank or identifies an actual commit.</x:v>
      </x:c>
      <x:c r="P89" s="3" t="str">
        <x:v>["evidence/CC-T021/review/"]</x:v>
      </x:c>
      <x:c r="Q89" s="3" t="str">
        <x:v>CC_Workshop_Implementation_Plan.md#cc-t021--import-diagnostic-sessions</x:v>
      </x:c>
      <x:c r="R89" s="8" t="n">
        <x:v>46275.51530535879</x:v>
      </x:c>
      <x:c r="S89" s="8" t="str"/>
      <x:c r="T89" s="8" t="str"/>
      <x:c r="U89" s="7" t="str"/>
      <x:c r="V89" s="7" t="str"/>
      <x:c r="W89" s="7" t="str"/>
      <x:c r="X89" s="7" t="str"/>
    </x:row>
    <x:row r="90" ht="96" customHeight="1">
      <x:c r="A90" s="3" t="str">
        <x:v>CC-T022-S01</x:v>
      </x:c>
      <x:c r="B90" s="3" t="str">
        <x:v>CC-T022</x:v>
      </x:c>
      <x:c r="C90" s="3" t="n">
        <x:v>1</x:v>
      </x:c>
      <x:c r="D90" s="3" t="str">
        <x:v>Establish regression and acceptance fixtures for implement deterministic session comparisons.
1. Known fixtures produce exact expected differences.
2. Incompatible units are not silently compared.
3. Unknown timestamps do not create invented trends.
4. Session ordering does not depend on filenames.
5. Cleared codes do not automatically close a case as repaired.</x:v>
      </x:c>
      <x:c r="E90" s="7" t="str">
        <x:v>Not started</x:v>
      </x:c>
      <x:c r="F90" s="7" t="str"/>
      <x:c r="G90" s="3" t="str">
        <x:v>python -m pytest -q tests/acceptance/test_session_comparison.py
Confirm the relevant missing or incorrect behavior for the task's acceptance criteria; record the actual failing behavior and command result.</x:v>
      </x:c>
      <x:c r="H90" s="3" t="str">
        <x:v>Local development</x:v>
      </x:c>
      <x:c r="I90" s="7" t="str"/>
      <x:c r="J90" s="3" t="str">
        <x:v>Engineering</x:v>
      </x:c>
      <x:c r="K90" s="3" t="str">
        <x:v>Initial</x:v>
      </x:c>
      <x:c r="L90" s="3" t="str">
        <x:v>[]</x:v>
      </x:c>
      <x:c r="M90" s="3" t="str">
        <x:v>[]</x:v>
      </x:c>
      <x:c r="N90" s="3" t="str">
        <x:v>["CC-E089"]</x:v>
      </x:c>
      <x:c r="O90" s="3" t="str">
        <x:v>Fixtures cover these expected behaviors and demonstrate the relevant baseline gap:
Known fixtures produce exact expected differences.
Incompatible units are not silently compared.
Unknown timestamps do not create invented trends.
Session ordering does not depend on filenames.
Cleared codes do not automatically close a case as repaired.</x:v>
      </x:c>
      <x:c r="P90" s="3" t="str">
        <x:v>["tests/acceptance/test_session_comparison.py"]</x:v>
      </x:c>
      <x:c r="Q90" s="3" t="str">
        <x:v>CC_Workshop_Implementation_Plan.md#cc-t022--implement-deterministic-session-comparisons</x:v>
      </x:c>
      <x:c r="R90" s="8" t="n">
        <x:v>46275.51530535879</x:v>
      </x:c>
      <x:c r="S90" s="8" t="str"/>
      <x:c r="T90" s="8" t="str"/>
      <x:c r="U90" s="7" t="str"/>
      <x:c r="V90" s="7" t="str"/>
      <x:c r="W90" s="7" t="str"/>
      <x:c r="X90" s="7" t="str"/>
    </x:row>
    <x:row r="91" ht="84" customHeight="1">
      <x:c r="A91" s="3" t="str">
        <x:v>CC-T022-S02</x:v>
      </x:c>
      <x:c r="B91" s="3" t="str">
        <x:v>CC-T022</x:v>
      </x:c>
      <x:c r="C91" s="3" t="n">
        <x:v>2</x:v>
      </x:c>
      <x:c r="D91" s="3" t="str">
        <x:v>Implement implement deterministic session comparisons.
1. Compare explicitly selected sessions.
2. Normalize supported units through tested conversion functions.
3. Preserve raw values.
4. Report unmatched or incomparable signals.
5. Distinguish code disappearance from verified repair success.</x:v>
      </x:c>
      <x:c r="E91" s="7" t="str">
        <x:v>Not started</x:v>
      </x:c>
      <x:c r="F91" s="7" t="str"/>
      <x:c r="G91" s="3" t="str">
        <x:v>Implementation covers the task-specific behavior; no claim of verification is made until S03.</x:v>
      </x:c>
      <x:c r="H91" s="3" t="str">
        <x:v>Local development</x:v>
      </x:c>
      <x:c r="I91" s="7" t="str"/>
      <x:c r="J91" s="3" t="str">
        <x:v>Engineering</x:v>
      </x:c>
      <x:c r="K91" s="3" t="str">
        <x:v>Initial</x:v>
      </x:c>
      <x:c r="L91" s="3" t="str">
        <x:v>["CC-T022-S01"]</x:v>
      </x:c>
      <x:c r="M91" s="3" t="str">
        <x:v>[]</x:v>
      </x:c>
      <x:c r="N91" s="3" t="str">
        <x:v>["CC-E090"]</x:v>
      </x:c>
      <x:c r="O91" s="3" t="str">
        <x:v>Compare explicitly selected sessions.
Normalize supported units through tested conversion functions.
Preserve raw values.
Report unmatched or incomparable signals.
Distinguish code disappearance from verified repair success.</x:v>
      </x:c>
      <x:c r="P91" s="3" t="str">
        <x:v>[]</x:v>
      </x:c>
      <x:c r="Q91" s="3" t="str">
        <x:v>CC_Workshop_Implementation_Plan.md#cc-t022--implement-deterministic-session-comparisons</x:v>
      </x:c>
      <x:c r="R91" s="8" t="n">
        <x:v>46275.51530535879</x:v>
      </x:c>
      <x:c r="S91" s="8" t="str"/>
      <x:c r="T91" s="8" t="str"/>
      <x:c r="U91" s="7" t="str"/>
      <x:c r="V91" s="7" t="str"/>
      <x:c r="W91" s="7" t="str"/>
      <x:c r="X91" s="7" t="str"/>
    </x:row>
    <x:row r="92" ht="96" customHeight="1">
      <x:c r="A92" s="3" t="str">
        <x:v>CC-T022-S03</x:v>
      </x:c>
      <x:c r="B92" s="3" t="str">
        <x:v>CC-T022</x:v>
      </x:c>
      <x:c r="C92" s="3" t="n">
        <x:v>3</x:v>
      </x:c>
      <x:c r="D92" s="3" t="str">
        <x:v>Verify implement deterministic session comparisons against every acceptance criterion.
1. Known fixtures produce exact expected differences.
2. Incompatible units are not silently compared.
3. Unknown timestamps do not create invented trends.
4. Session ordering does not depend on filenames.
5. Cleared codes do not automatically close a case as repaired.</x:v>
      </x:c>
      <x:c r="E92" s="7" t="str">
        <x:v>Not started</x:v>
      </x:c>
      <x:c r="F92" s="7" t="str"/>
      <x:c r="G92" s="3" t="str">
        <x:v>python -m pytest -q tests/acceptance/test_session_comparison.py
All applicable acceptance criteria pass; separately record manual-source, hardware or clean-installation observations when required.</x:v>
      </x:c>
      <x:c r="H92" s="3" t="str">
        <x:v>Local development</x:v>
      </x:c>
      <x:c r="I92" s="7" t="str"/>
      <x:c r="J92" s="3" t="str">
        <x:v>Engineering</x:v>
      </x:c>
      <x:c r="K92" s="3" t="str">
        <x:v>Initial</x:v>
      </x:c>
      <x:c r="L92" s="3" t="str">
        <x:v>["CC-T022-S02"]</x:v>
      </x:c>
      <x:c r="M92" s="3" t="str">
        <x:v>[]</x:v>
      </x:c>
      <x:c r="N92" s="3" t="str">
        <x:v>["CC-E091"]</x:v>
      </x:c>
      <x:c r="O92" s="3" t="str">
        <x:v>Known fixtures produce exact expected differences.
Incompatible units are not silently compared.
Unknown timestamps do not create invented trends.
Session ordering does not depend on filenames.
Cleared codes do not automatically close a case as repaired.</x:v>
      </x:c>
      <x:c r="P92" s="3" t="str">
        <x:v>["evidence/CC-T022/verification/"]</x:v>
      </x:c>
      <x:c r="Q92" s="3" t="str">
        <x:v>CC_Workshop_Implementation_Plan.md#cc-t022--implement-deterministic-session-comparisons</x:v>
      </x:c>
      <x:c r="R92" s="8" t="n">
        <x:v>46275.51530535879</x:v>
      </x:c>
      <x:c r="S92" s="8" t="str"/>
      <x:c r="T92" s="8" t="str"/>
      <x:c r="U92" s="7" t="str"/>
      <x:c r="V92" s="7" t="str"/>
      <x:c r="W92" s="7" t="str"/>
      <x:c r="X92" s="7" t="str"/>
    </x:row>
    <x:row r="93" ht="54" customHeight="1">
      <x:c r="A93" s="3" t="str">
        <x:v>CC-T022-S04</x:v>
      </x:c>
      <x:c r="B93" s="3" t="str">
        <x:v>CC-T022</x:v>
      </x:c>
      <x:c r="C93" s="3" t="n">
        <x:v>4</x:v>
      </x:c>
      <x:c r="D93" s="3" t="str">
        <x:v>Review implement deterministic session comparisons, reconcile its evidence and handover, and record the commit if one is created.</x:v>
      </x:c>
      <x:c r="E93" s="7" t="str">
        <x:v>Not started</x:v>
      </x:c>
      <x:c r="F93" s="7" t="str"/>
      <x:c r="G93" s="3" t="str">
        <x:v>Independent review and all required evidence resolve task acceptance; tracker and handover agree. Record only an existing commit.</x:v>
      </x:c>
      <x:c r="H93" s="3" t="str">
        <x:v>Local development</x:v>
      </x:c>
      <x:c r="I93" s="7" t="str"/>
      <x:c r="J93" s="3" t="str">
        <x:v>Engineering</x:v>
      </x:c>
      <x:c r="K93" s="3" t="str">
        <x:v>Initial</x:v>
      </x:c>
      <x:c r="L93" s="3" t="str">
        <x:v>["CC-T022-S03"]</x:v>
      </x:c>
      <x:c r="M93" s="3" t="str">
        <x:v>[]</x:v>
      </x:c>
      <x:c r="N93" s="3" t="str">
        <x:v>["CC-E092"]</x:v>
      </x:c>
      <x:c r="O93" s="3" t="str">
        <x:v>Review findings resolved or explicitly recorded; evidence links valid; tracker consistent; commit field is blank or identifies an actual commit.</x:v>
      </x:c>
      <x:c r="P93" s="3" t="str">
        <x:v>["evidence/CC-T022/review/"]</x:v>
      </x:c>
      <x:c r="Q93" s="3" t="str">
        <x:v>CC_Workshop_Implementation_Plan.md#cc-t022--implement-deterministic-session-comparisons</x:v>
      </x:c>
      <x:c r="R93" s="8" t="n">
        <x:v>46275.51530535879</x:v>
      </x:c>
      <x:c r="S93" s="8" t="str"/>
      <x:c r="T93" s="8" t="str"/>
      <x:c r="U93" s="7" t="str"/>
      <x:c r="V93" s="7" t="str"/>
      <x:c r="W93" s="7" t="str"/>
      <x:c r="X93" s="7" t="str"/>
    </x:row>
    <x:row r="94" ht="96" customHeight="1">
      <x:c r="A94" s="3" t="str">
        <x:v>CC-T023-S01</x:v>
      </x:c>
      <x:c r="B94" s="3" t="str">
        <x:v>CC-T023</x:v>
      </x:c>
      <x:c r="C94" s="3" t="n">
        <x:v>1</x:v>
      </x:c>
      <x:c r="D94" s="3" t="str">
        <x:v>Establish regression and acceptance fixtures for add local vision evidence.
1. A text-only provider rejects vision clearly.
2. Images remain within the selected Garage.
3. Ambiguous visual observations are labelled accordingly.
4. The model cannot manufacture a measurement from an image.
5. Upload and analysis work with internet disconnected.</x:v>
      </x:c>
      <x:c r="E94" s="7" t="str">
        <x:v>Not started</x:v>
      </x:c>
      <x:c r="F94" s="7" t="str"/>
      <x:c r="G94" s="3" t="str">
        <x:v>python -m pytest -q tests/acceptance/test_vision_evidence.py
Confirm the relevant missing or incorrect behavior for the task's acceptance criteria; record the actual failing behavior and command result.</x:v>
      </x:c>
      <x:c r="H94" s="3" t="str">
        <x:v>Local development; actual supported hardware for hardware gates</x:v>
      </x:c>
      <x:c r="I94" s="7" t="str"/>
      <x:c r="J94" s="3" t="str">
        <x:v>Engineering</x:v>
      </x:c>
      <x:c r="K94" s="3" t="str">
        <x:v>Initial</x:v>
      </x:c>
      <x:c r="L94" s="3" t="str">
        <x:v>[]</x:v>
      </x:c>
      <x:c r="M94" s="3" t="str">
        <x:v>[]</x:v>
      </x:c>
      <x:c r="N94" s="3" t="str">
        <x:v>["CC-E093"]</x:v>
      </x:c>
      <x:c r="O94" s="3" t="str">
        <x:v>Fixtures cover these expected behaviors and demonstrate the relevant baseline gap:
A text-only provider rejects vision clearly.
Images remain within the selected Garage.
Ambiguous visual observations are labelled accordingly.
The model cannot manufacture a measurement from an image.
Upload and analysis work with internet disconnected.</x:v>
      </x:c>
      <x:c r="P94" s="3" t="str">
        <x:v>["tests/acceptance/test_vision_evidence.py"]</x:v>
      </x:c>
      <x:c r="Q94" s="3" t="str">
        <x:v>CC_Workshop_Implementation_Plan.md#cc-t023--add-local-vision-evidence</x:v>
      </x:c>
      <x:c r="R94" s="8" t="n">
        <x:v>46275.51530535879</x:v>
      </x:c>
      <x:c r="S94" s="8" t="str"/>
      <x:c r="T94" s="8" t="str"/>
      <x:c r="U94" s="7" t="str"/>
      <x:c r="V94" s="7" t="str"/>
      <x:c r="W94" s="7" t="str"/>
      <x:c r="X94" s="7" t="str"/>
    </x:row>
    <x:row r="95" ht="84" customHeight="1">
      <x:c r="A95" s="3" t="str">
        <x:v>CC-T023-S02</x:v>
      </x:c>
      <x:c r="B95" s="3" t="str">
        <x:v>CC-T023</x:v>
      </x:c>
      <x:c r="C95" s="3" t="n">
        <x:v>2</x:v>
      </x:c>
      <x:c r="D95" s="3" t="str">
        <x:v>Implement add local vision evidence.
1. Add image uploads scoped to a Garage and case.
2. Validate image type and decode limits.
3. Submit local image data through the tested provider format.
4. Record image-derived observations separately from confirmed findings.
5. Preserve attachment provenance.</x:v>
      </x:c>
      <x:c r="E95" s="7" t="str">
        <x:v>Not started</x:v>
      </x:c>
      <x:c r="F95" s="7" t="str"/>
      <x:c r="G95" s="3" t="str">
        <x:v>Implementation covers the task-specific behavior; no claim of verification is made until S03.</x:v>
      </x:c>
      <x:c r="H95" s="3" t="str">
        <x:v>Local development; actual supported hardware for hardware gates</x:v>
      </x:c>
      <x:c r="I95" s="7" t="str"/>
      <x:c r="J95" s="3" t="str">
        <x:v>Engineering</x:v>
      </x:c>
      <x:c r="K95" s="3" t="str">
        <x:v>Initial</x:v>
      </x:c>
      <x:c r="L95" s="3" t="str">
        <x:v>["CC-T023-S01"]</x:v>
      </x:c>
      <x:c r="M95" s="3" t="str">
        <x:v>[]</x:v>
      </x:c>
      <x:c r="N95" s="3" t="str">
        <x:v>["CC-E094"]</x:v>
      </x:c>
      <x:c r="O95" s="3" t="str">
        <x:v>Add image uploads scoped to a Garage and case.
Validate image type and decode limits.
Submit local image data through the tested provider format.
Record image-derived observations separately from confirmed findings.
Preserve attachment provenance.</x:v>
      </x:c>
      <x:c r="P95" s="3" t="str">
        <x:v>[]</x:v>
      </x:c>
      <x:c r="Q95" s="3" t="str">
        <x:v>CC_Workshop_Implementation_Plan.md#cc-t023--add-local-vision-evidence</x:v>
      </x:c>
      <x:c r="R95" s="8" t="n">
        <x:v>46275.51530535879</x:v>
      </x:c>
      <x:c r="S95" s="8" t="str"/>
      <x:c r="T95" s="8" t="str"/>
      <x:c r="U95" s="7" t="str"/>
      <x:c r="V95" s="7" t="str"/>
      <x:c r="W95" s="7" t="str"/>
      <x:c r="X95" s="7" t="str"/>
    </x:row>
    <x:row r="96" ht="84" customHeight="1">
      <x:c r="A96" s="3" t="str">
        <x:v>CC-T023-S03</x:v>
      </x:c>
      <x:c r="B96" s="3" t="str">
        <x:v>CC-T023</x:v>
      </x:c>
      <x:c r="C96" s="3" t="n">
        <x:v>3</x:v>
      </x:c>
      <x:c r="D96" s="3" t="str">
        <x:v>Verify add local vision evidence against every acceptance criterion.
1. A text-only provider rejects vision clearly.
2. Images remain within the selected Garage.
3. Ambiguous visual observations are labelled accordingly.
4. The model cannot manufacture a measurement from an image.
5. Upload and analysis work with internet disconnected.</x:v>
      </x:c>
      <x:c r="E96" s="7" t="str">
        <x:v>Not started</x:v>
      </x:c>
      <x:c r="F96" s="7" t="str"/>
      <x:c r="G96" s="3" t="str">
        <x:v>python -m pytest -q tests/acceptance/test_vision_evidence.py
All applicable acceptance criteria pass; separately record manual-source, hardware or clean-installation observations when required.</x:v>
      </x:c>
      <x:c r="H96" s="3" t="str">
        <x:v>Local development; actual supported hardware for hardware gates</x:v>
      </x:c>
      <x:c r="I96" s="7" t="str"/>
      <x:c r="J96" s="3" t="str">
        <x:v>Engineering</x:v>
      </x:c>
      <x:c r="K96" s="3" t="str">
        <x:v>Initial</x:v>
      </x:c>
      <x:c r="L96" s="3" t="str">
        <x:v>["CC-T023-S02"]</x:v>
      </x:c>
      <x:c r="M96" s="3" t="str">
        <x:v>[]</x:v>
      </x:c>
      <x:c r="N96" s="3" t="str">
        <x:v>["CC-E095"]</x:v>
      </x:c>
      <x:c r="O96" s="3" t="str">
        <x:v>A text-only provider rejects vision clearly.
Images remain within the selected Garage.
Ambiguous visual observations are labelled accordingly.
The model cannot manufacture a measurement from an image.
Upload and analysis work with internet disconnected.</x:v>
      </x:c>
      <x:c r="P96" s="3" t="str">
        <x:v>["evidence/CC-T023/verification/"]</x:v>
      </x:c>
      <x:c r="Q96" s="3" t="str">
        <x:v>CC_Workshop_Implementation_Plan.md#cc-t023--add-local-vision-evidence</x:v>
      </x:c>
      <x:c r="R96" s="8" t="n">
        <x:v>46275.51530535879</x:v>
      </x:c>
      <x:c r="S96" s="8" t="str"/>
      <x:c r="T96" s="8" t="str"/>
      <x:c r="U96" s="7" t="str"/>
      <x:c r="V96" s="7" t="str"/>
      <x:c r="W96" s="7" t="str"/>
      <x:c r="X96" s="7" t="str"/>
    </x:row>
    <x:row r="97" ht="54" customHeight="1">
      <x:c r="A97" s="3" t="str">
        <x:v>CC-T023-S04</x:v>
      </x:c>
      <x:c r="B97" s="3" t="str">
        <x:v>CC-T023</x:v>
      </x:c>
      <x:c r="C97" s="3" t="n">
        <x:v>4</x:v>
      </x:c>
      <x:c r="D97" s="3" t="str">
        <x:v>Review add local vision evidence, reconcile its evidence and handover, and record the commit if one is created.</x:v>
      </x:c>
      <x:c r="E97" s="7" t="str">
        <x:v>Not started</x:v>
      </x:c>
      <x:c r="F97" s="7" t="str"/>
      <x:c r="G97" s="3" t="str">
        <x:v>Independent review and all required evidence resolve task acceptance; tracker and handover agree. Record only an existing commit.</x:v>
      </x:c>
      <x:c r="H97" s="3" t="str">
        <x:v>Local development; actual supported hardware for hardware gates</x:v>
      </x:c>
      <x:c r="I97" s="7" t="str"/>
      <x:c r="J97" s="3" t="str">
        <x:v>Engineering</x:v>
      </x:c>
      <x:c r="K97" s="3" t="str">
        <x:v>Initial</x:v>
      </x:c>
      <x:c r="L97" s="3" t="str">
        <x:v>["CC-T023-S03"]</x:v>
      </x:c>
      <x:c r="M97" s="3" t="str">
        <x:v>[]</x:v>
      </x:c>
      <x:c r="N97" s="3" t="str">
        <x:v>["CC-E096"]</x:v>
      </x:c>
      <x:c r="O97" s="3" t="str">
        <x:v>Review findings resolved or explicitly recorded; evidence links valid; tracker consistent; commit field is blank or identifies an actual commit.</x:v>
      </x:c>
      <x:c r="P97" s="3" t="str">
        <x:v>["evidence/CC-T023/review/"]</x:v>
      </x:c>
      <x:c r="Q97" s="3" t="str">
        <x:v>CC_Workshop_Implementation_Plan.md#cc-t023--add-local-vision-evidence</x:v>
      </x:c>
      <x:c r="R97" s="8" t="n">
        <x:v>46275.51530535879</x:v>
      </x:c>
      <x:c r="S97" s="8" t="str"/>
      <x:c r="T97" s="8" t="str"/>
      <x:c r="U97" s="7" t="str"/>
      <x:c r="V97" s="7" t="str"/>
      <x:c r="W97" s="7" t="str"/>
      <x:c r="X97" s="7" t="str"/>
    </x:row>
    <x:row r="98" ht="96" customHeight="1">
      <x:c r="A98" s="3" t="str">
        <x:v>CC-T024-S01</x:v>
      </x:c>
      <x:c r="B98" s="3" t="str">
        <x:v>CC-T024</x:v>
      </x:c>
      <x:c r="C98" s="3" t="n">
        <x:v>1</x:v>
      </x:c>
      <x:c r="D98" s="3" t="str">
        <x:v>Establish regression and acceptance fixtures for implement diagnostic cases.
1. Historical DTCs are not presented as current without evidence.
2. Hypotheses remain distinct from findings.
3. A diagnosis cannot invent measurements.
4. A DTC does not directly become a parts-replacement recommendation.
5. Case history survives restart and remains vehicle-scoped.</x:v>
      </x:c>
      <x:c r="E98" s="7" t="str">
        <x:v>Not started</x:v>
      </x:c>
      <x:c r="F98" s="7" t="str"/>
      <x:c r="G98" s="3" t="str">
        <x:v>python -m pytest -q tests/acceptance/test_diagnostic_cases.py
Confirm the relevant missing or incorrect behavior for the task's acceptance criteria; record the actual failing behavior and command result.</x:v>
      </x:c>
      <x:c r="H98" s="3" t="str">
        <x:v>Local development</x:v>
      </x:c>
      <x:c r="I98" s="7" t="str"/>
      <x:c r="J98" s="3" t="str">
        <x:v>Engineering</x:v>
      </x:c>
      <x:c r="K98" s="3" t="str">
        <x:v>Initial</x:v>
      </x:c>
      <x:c r="L98" s="3" t="str">
        <x:v>[]</x:v>
      </x:c>
      <x:c r="M98" s="3" t="str">
        <x:v>[]</x:v>
      </x:c>
      <x:c r="N98" s="3" t="str">
        <x:v>["CC-E097"]</x:v>
      </x:c>
      <x:c r="O98" s="3" t="str">
        <x:v>Fixtures cover these expected behaviors and demonstrate the relevant baseline gap:
Historical DTCs are not presented as current without evidence.
Hypotheses remain distinct from findings.
A diagnosis cannot invent measurements.
A DTC does not directly become a parts-replacement recommendation.
Case history survives restart and remains vehicle-scoped.</x:v>
      </x:c>
      <x:c r="P98" s="3" t="str">
        <x:v>["tests/acceptance/test_diagnostic_cases.py"]</x:v>
      </x:c>
      <x:c r="Q98" s="3" t="str">
        <x:v>CC_Workshop_Implementation_Plan.md#cc-t024--implement-diagnostic-cases</x:v>
      </x:c>
      <x:c r="R98" s="8" t="n">
        <x:v>46275.51530535879</x:v>
      </x:c>
      <x:c r="S98" s="8" t="str"/>
      <x:c r="T98" s="8" t="str"/>
      <x:c r="U98" s="7" t="str"/>
      <x:c r="V98" s="7" t="str"/>
      <x:c r="W98" s="7" t="str"/>
      <x:c r="X98" s="7" t="str"/>
    </x:row>
    <x:row r="99" ht="84" customHeight="1">
      <x:c r="A99" s="3" t="str">
        <x:v>CC-T024-S02</x:v>
      </x:c>
      <x:c r="B99" s="3" t="str">
        <x:v>CC-T024</x:v>
      </x:c>
      <x:c r="C99" s="3" t="n">
        <x:v>2</x:v>
      </x:c>
      <x:c r="D99" s="3" t="str">
        <x:v>Implement implement diagnostic cases.
1. Persist symptoms, observations, hypotheses and test outcomes.
2. Combine source evidence with selected historical sessions.
3. Produce ranked hypotheses and supported next tests.
4. Link procedures and measurements to the case.
5. Attribute user-recorded outcomes.</x:v>
      </x:c>
      <x:c r="E99" s="7" t="str">
        <x:v>Not started</x:v>
      </x:c>
      <x:c r="F99" s="7" t="str"/>
      <x:c r="G99" s="3" t="str">
        <x:v>Implementation covers the task-specific behavior; no claim of verification is made until S03.</x:v>
      </x:c>
      <x:c r="H99" s="3" t="str">
        <x:v>Local development</x:v>
      </x:c>
      <x:c r="I99" s="7" t="str"/>
      <x:c r="J99" s="3" t="str">
        <x:v>Engineering</x:v>
      </x:c>
      <x:c r="K99" s="3" t="str">
        <x:v>Initial</x:v>
      </x:c>
      <x:c r="L99" s="3" t="str">
        <x:v>["CC-T024-S01"]</x:v>
      </x:c>
      <x:c r="M99" s="3" t="str">
        <x:v>[]</x:v>
      </x:c>
      <x:c r="N99" s="3" t="str">
        <x:v>["CC-E098"]</x:v>
      </x:c>
      <x:c r="O99" s="3" t="str">
        <x:v>Persist symptoms, observations, hypotheses and test outcomes.
Combine source evidence with selected historical sessions.
Produce ranked hypotheses and supported next tests.
Link procedures and measurements to the case.
Attribute user-recorded outcomes.</x:v>
      </x:c>
      <x:c r="P99" s="3" t="str">
        <x:v>[]</x:v>
      </x:c>
      <x:c r="Q99" s="3" t="str">
        <x:v>CC_Workshop_Implementation_Plan.md#cc-t024--implement-diagnostic-cases</x:v>
      </x:c>
      <x:c r="R99" s="8" t="n">
        <x:v>46275.51530535879</x:v>
      </x:c>
      <x:c r="S99" s="8" t="str"/>
      <x:c r="T99" s="8" t="str"/>
      <x:c r="U99" s="7" t="str"/>
      <x:c r="V99" s="7" t="str"/>
      <x:c r="W99" s="7" t="str"/>
      <x:c r="X99" s="7" t="str"/>
    </x:row>
    <x:row r="100" ht="84" customHeight="1">
      <x:c r="A100" s="3" t="str">
        <x:v>CC-T024-S03</x:v>
      </x:c>
      <x:c r="B100" s="3" t="str">
        <x:v>CC-T024</x:v>
      </x:c>
      <x:c r="C100" s="3" t="n">
        <x:v>3</x:v>
      </x:c>
      <x:c r="D100" s="3" t="str">
        <x:v>Verify implement diagnostic cases against every acceptance criterion.
1. Historical DTCs are not presented as current without evidence.
2. Hypotheses remain distinct from findings.
3. A diagnosis cannot invent measurements.
4. A DTC does not directly become a parts-replacement recommendation.
5. Case history survives restart and remains vehicle-scoped.</x:v>
      </x:c>
      <x:c r="E100" s="7" t="str">
        <x:v>Not started</x:v>
      </x:c>
      <x:c r="F100" s="7" t="str"/>
      <x:c r="G100" s="3" t="str">
        <x:v>python -m pytest -q tests/acceptance/test_diagnostic_cases.py
All applicable acceptance criteria pass; separately record manual-source, hardware or clean-installation observations when required.</x:v>
      </x:c>
      <x:c r="H100" s="3" t="str">
        <x:v>Local development</x:v>
      </x:c>
      <x:c r="I100" s="7" t="str"/>
      <x:c r="J100" s="3" t="str">
        <x:v>Engineering</x:v>
      </x:c>
      <x:c r="K100" s="3" t="str">
        <x:v>Initial</x:v>
      </x:c>
      <x:c r="L100" s="3" t="str">
        <x:v>["CC-T024-S02"]</x:v>
      </x:c>
      <x:c r="M100" s="3" t="str">
        <x:v>[]</x:v>
      </x:c>
      <x:c r="N100" s="3" t="str">
        <x:v>["CC-E099"]</x:v>
      </x:c>
      <x:c r="O100" s="3" t="str">
        <x:v>Historical DTCs are not presented as current without evidence.
Hypotheses remain distinct from findings.
A diagnosis cannot invent measurements.
A DTC does not directly become a parts-replacement recommendation.
Case history survives restart and remains vehicle-scoped.</x:v>
      </x:c>
      <x:c r="P100" s="3" t="str">
        <x:v>["evidence/CC-T024/verification/"]</x:v>
      </x:c>
      <x:c r="Q100" s="3" t="str">
        <x:v>CC_Workshop_Implementation_Plan.md#cc-t024--implement-diagnostic-cases</x:v>
      </x:c>
      <x:c r="R100" s="8" t="n">
        <x:v>46275.51530535879</x:v>
      </x:c>
      <x:c r="S100" s="8" t="str"/>
      <x:c r="T100" s="8" t="str"/>
      <x:c r="U100" s="7" t="str"/>
      <x:c r="V100" s="7" t="str"/>
      <x:c r="W100" s="7" t="str"/>
      <x:c r="X100" s="7" t="str"/>
    </x:row>
    <x:row r="101" ht="54" customHeight="1">
      <x:c r="A101" s="3" t="str">
        <x:v>CC-T024-S04</x:v>
      </x:c>
      <x:c r="B101" s="3" t="str">
        <x:v>CC-T024</x:v>
      </x:c>
      <x:c r="C101" s="3" t="n">
        <x:v>4</x:v>
      </x:c>
      <x:c r="D101" s="3" t="str">
        <x:v>Review implement diagnostic cases, reconcile its evidence and handover, and record the commit if one is created.</x:v>
      </x:c>
      <x:c r="E101" s="7" t="str">
        <x:v>Not started</x:v>
      </x:c>
      <x:c r="F101" s="7" t="str"/>
      <x:c r="G101" s="3" t="str">
        <x:v>Independent review and all required evidence resolve task acceptance; tracker and handover agree. Record only an existing commit.</x:v>
      </x:c>
      <x:c r="H101" s="3" t="str">
        <x:v>Local development</x:v>
      </x:c>
      <x:c r="I101" s="7" t="str"/>
      <x:c r="J101" s="3" t="str">
        <x:v>Engineering</x:v>
      </x:c>
      <x:c r="K101" s="3" t="str">
        <x:v>Initial</x:v>
      </x:c>
      <x:c r="L101" s="3" t="str">
        <x:v>["CC-T024-S03"]</x:v>
      </x:c>
      <x:c r="M101" s="3" t="str">
        <x:v>[]</x:v>
      </x:c>
      <x:c r="N101" s="3" t="str">
        <x:v>["CC-E100"]</x:v>
      </x:c>
      <x:c r="O101" s="3" t="str">
        <x:v>Review findings resolved or explicitly recorded; evidence links valid; tracker consistent; commit field is blank or identifies an actual commit.</x:v>
      </x:c>
      <x:c r="P101" s="3" t="str">
        <x:v>["evidence/CC-T024/review/"]</x:v>
      </x:c>
      <x:c r="Q101" s="3" t="str">
        <x:v>CC_Workshop_Implementation_Plan.md#cc-t024--implement-diagnostic-cases</x:v>
      </x:c>
      <x:c r="R101" s="8" t="n">
        <x:v>46275.51530535879</x:v>
      </x:c>
      <x:c r="S101" s="8" t="str"/>
      <x:c r="T101" s="8" t="str"/>
      <x:c r="U101" s="7" t="str"/>
      <x:c r="V101" s="7" t="str"/>
      <x:c r="W101" s="7" t="str"/>
      <x:c r="X101" s="7" t="str"/>
    </x:row>
    <x:row r="102" ht="132" customHeight="1">
      <x:c r="A102" s="3" t="str">
        <x:v>CC-T025-S01</x:v>
      </x:c>
      <x:c r="B102" s="3" t="str">
        <x:v>CC-T025</x:v>
      </x:c>
      <x:c r="C102" s="3" t="n">
        <x:v>1</x:v>
      </x:c>
      <x:c r="D102" s="3" t="str">
        <x:v>Establish regression and acceptance fixtures for prove one complete repair workflow.
1. A reviewer can trace every material instruction to the applicable original.
2. Component identity, warnings, specification stages, figures and final checks are complete.
3. Missing or conflicting evidence produces the correct withholding state.
4. The pilot’s observed results are recorded separately from synthetic tests.</x:v>
      </x:c>
      <x:c r="E102" s="7" t="str">
        <x:v>Not started</x:v>
      </x:c>
      <x:c r="F102" s="7" t="str"/>
      <x:c r="G102" s="3" t="str">
        <x:v>python -m pytest -q tests/acceptance/test_pilot_workflow.py
Confirm the relevant missing or incorrect behavior for the task's acceptance criteria; record the actual failing behavior and command result.</x:v>
      </x:c>
      <x:c r="H102" s="3" t="str">
        <x:v>Local development and applicable original manual review</x:v>
      </x:c>
      <x:c r="I102" s="7" t="str"/>
      <x:c r="J102" s="3" t="str">
        <x:v>Engineering</x:v>
      </x:c>
      <x:c r="K102" s="3" t="str">
        <x:v>Initial</x:v>
      </x:c>
      <x:c r="L102" s="3" t="str">
        <x:v>[]</x:v>
      </x:c>
      <x:c r="M102" s="3" t="str">
        <x:v>[]</x:v>
      </x:c>
      <x:c r="N102" s="3" t="str">
        <x:v>["CC-E101"]</x:v>
      </x:c>
      <x:c r="O102" s="3" t="str">
        <x:v>Fixtures cover these expected behaviors and demonstrate the relevant baseline gap:
A reviewer can trace every material instruction to the applicable original.
Component identity, warnings, specification stages, figures and final checks are complete.
Missing or conflicting evidence produces the correct withholding state.
The pilot’s observed results are recorded separately from synthetic tests.</x:v>
      </x:c>
      <x:c r="P102" s="3" t="str">
        <x:v>["tests/acceptance/test_pilot_workflow.py"]</x:v>
      </x:c>
      <x:c r="Q102" s="3" t="str">
        <x:v>CC_Workshop_Implementation_Plan.md#cc-t025--prove-one-complete-repair-workflow</x:v>
      </x:c>
      <x:c r="R102" s="8" t="n">
        <x:v>46275.51530535879</x:v>
      </x:c>
      <x:c r="S102" s="8" t="str"/>
      <x:c r="T102" s="8" t="str"/>
      <x:c r="U102" s="7" t="str"/>
      <x:c r="V102" s="7" t="str"/>
      <x:c r="W102" s="7" t="str"/>
      <x:c r="X102" s="7" t="str"/>
    </x:row>
    <x:row r="103" ht="96" customHeight="1">
      <x:c r="A103" s="3" t="str">
        <x:v>CC-T025-S02</x:v>
      </x:c>
      <x:c r="B103" s="3" t="str">
        <x:v>CC-T025</x:v>
      </x:c>
      <x:c r="C103" s="3" t="n">
        <x:v>2</x:v>
      </x:c>
      <x:c r="D103" s="3" t="str">
        <x:v>Implement prove one complete repair workflow.
1. Use a brake procedure only after its exact vehicle applicability is confirmed.
2. Reconcile its complete original source context.
3. Exercise source import, retrieval, answer, procedure review and illustrated export.
4. Repeat with deliberately missing and conflicting evidence.</x:v>
      </x:c>
      <x:c r="E103" s="7" t="str">
        <x:v>Not started</x:v>
      </x:c>
      <x:c r="F103" s="7" t="str"/>
      <x:c r="G103" s="3" t="str">
        <x:v>Implementation covers the task-specific behavior; no claim of verification is made until S03.</x:v>
      </x:c>
      <x:c r="H103" s="3" t="str">
        <x:v>Local development and applicable original manual review</x:v>
      </x:c>
      <x:c r="I103" s="7" t="str"/>
      <x:c r="J103" s="3" t="str">
        <x:v>Engineering</x:v>
      </x:c>
      <x:c r="K103" s="3" t="str">
        <x:v>Initial</x:v>
      </x:c>
      <x:c r="L103" s="3" t="str">
        <x:v>["CC-T025-S01"]</x:v>
      </x:c>
      <x:c r="M103" s="3" t="str">
        <x:v>[]</x:v>
      </x:c>
      <x:c r="N103" s="3" t="str">
        <x:v>["CC-E102"]</x:v>
      </x:c>
      <x:c r="O103" s="3" t="str">
        <x:v>Use a brake procedure only after its exact vehicle applicability is confirmed.
Reconcile its complete original source context.
Exercise source import, retrieval, answer, procedure review and illustrated export.
Repeat with deliberately missing and conflicting evidence.</x:v>
      </x:c>
      <x:c r="P103" s="3" t="str">
        <x:v>[]</x:v>
      </x:c>
      <x:c r="Q103" s="3" t="str">
        <x:v>CC_Workshop_Implementation_Plan.md#cc-t025--prove-one-complete-repair-workflow</x:v>
      </x:c>
      <x:c r="R103" s="8" t="n">
        <x:v>46275.51530535879</x:v>
      </x:c>
      <x:c r="S103" s="8" t="str"/>
      <x:c r="T103" s="8" t="str"/>
      <x:c r="U103" s="7" t="str"/>
      <x:c r="V103" s="7" t="str"/>
      <x:c r="W103" s="7" t="str"/>
      <x:c r="X103" s="7" t="str"/>
    </x:row>
    <x:row r="104" ht="132" customHeight="1">
      <x:c r="A104" s="3" t="str">
        <x:v>CC-T025-S03</x:v>
      </x:c>
      <x:c r="B104" s="3" t="str">
        <x:v>CC-T025</x:v>
      </x:c>
      <x:c r="C104" s="3" t="n">
        <x:v>3</x:v>
      </x:c>
      <x:c r="D104" s="3" t="str">
        <x:v>Verify prove one complete repair workflow against every acceptance criterion.
1. A reviewer can trace every material instruction to the applicable original.
2. Component identity, warnings, specification stages, figures and final checks are complete.
3. Missing or conflicting evidence produces the correct withholding state.
4. The pilot’s observed results are recorded separately from synthetic tests.</x:v>
      </x:c>
      <x:c r="E104" s="7" t="str">
        <x:v>Not started</x:v>
      </x:c>
      <x:c r="F104" s="7" t="str"/>
      <x:c r="G104" s="3" t="str">
        <x:v>python -m pytest -q tests/acceptance/test_pilot_workflow.py
All applicable acceptance criteria pass; separately record manual-source, hardware or clean-installation observations when required.</x:v>
      </x:c>
      <x:c r="H104" s="3" t="str">
        <x:v>Local development and applicable original manual review</x:v>
      </x:c>
      <x:c r="I104" s="7" t="str"/>
      <x:c r="J104" s="3" t="str">
        <x:v>Engineering</x:v>
      </x:c>
      <x:c r="K104" s="3" t="str">
        <x:v>Initial</x:v>
      </x:c>
      <x:c r="L104" s="3" t="str">
        <x:v>["CC-T025-S02"]</x:v>
      </x:c>
      <x:c r="M104" s="3" t="str">
        <x:v>[]</x:v>
      </x:c>
      <x:c r="N104" s="3" t="str">
        <x:v>["CC-E103"]</x:v>
      </x:c>
      <x:c r="O104" s="3" t="str">
        <x:v>A reviewer can trace every material instruction to the applicable original.
Component identity, warnings, specification stages, figures and final checks are complete.
Missing or conflicting evidence produces the correct withholding state.
The pilot’s observed results are recorded separately from synthetic tests.</x:v>
      </x:c>
      <x:c r="P104" s="3" t="str">
        <x:v>["evidence/CC-T025/verification/"]</x:v>
      </x:c>
      <x:c r="Q104" s="3" t="str">
        <x:v>CC_Workshop_Implementation_Plan.md#cc-t025--prove-one-complete-repair-workflow</x:v>
      </x:c>
      <x:c r="R104" s="8" t="n">
        <x:v>46275.51530535879</x:v>
      </x:c>
      <x:c r="S104" s="8" t="str"/>
      <x:c r="T104" s="8" t="str"/>
      <x:c r="U104" s="7" t="str"/>
      <x:c r="V104" s="7" t="str"/>
      <x:c r="W104" s="7" t="str"/>
      <x:c r="X104" s="7" t="str"/>
    </x:row>
    <x:row r="105" ht="54" customHeight="1">
      <x:c r="A105" s="3" t="str">
        <x:v>CC-T025-S04</x:v>
      </x:c>
      <x:c r="B105" s="3" t="str">
        <x:v>CC-T025</x:v>
      </x:c>
      <x:c r="C105" s="3" t="n">
        <x:v>4</x:v>
      </x:c>
      <x:c r="D105" s="3" t="str">
        <x:v>Review prove one complete repair workflow, reconcile its evidence and handover, and record the commit if one is created.</x:v>
      </x:c>
      <x:c r="E105" s="7" t="str">
        <x:v>Not started</x:v>
      </x:c>
      <x:c r="F105" s="7" t="str"/>
      <x:c r="G105" s="3" t="str">
        <x:v>Independent review and all required evidence resolve task acceptance; tracker and handover agree. Record only an existing commit.</x:v>
      </x:c>
      <x:c r="H105" s="3" t="str">
        <x:v>Local development and applicable original manual review</x:v>
      </x:c>
      <x:c r="I105" s="7" t="str"/>
      <x:c r="J105" s="3" t="str">
        <x:v>Engineering</x:v>
      </x:c>
      <x:c r="K105" s="3" t="str">
        <x:v>Initial</x:v>
      </x:c>
      <x:c r="L105" s="3" t="str">
        <x:v>["CC-T025-S03"]</x:v>
      </x:c>
      <x:c r="M105" s="3" t="str">
        <x:v>[]</x:v>
      </x:c>
      <x:c r="N105" s="3" t="str">
        <x:v>["CC-E104"]</x:v>
      </x:c>
      <x:c r="O105" s="3" t="str">
        <x:v>Review findings resolved or explicitly recorded; evidence links valid; tracker consistent; commit field is blank or identifies an actual commit.</x:v>
      </x:c>
      <x:c r="P105" s="3" t="str">
        <x:v>["evidence/CC-T025/review/"]</x:v>
      </x:c>
      <x:c r="Q105" s="3" t="str">
        <x:v>CC_Workshop_Implementation_Plan.md#cc-t025--prove-one-complete-repair-workflow</x:v>
      </x:c>
      <x:c r="R105" s="8" t="n">
        <x:v>46275.51530535879</x:v>
      </x:c>
      <x:c r="S105" s="8" t="str"/>
      <x:c r="T105" s="8" t="str"/>
      <x:c r="U105" s="7" t="str"/>
      <x:c r="V105" s="7" t="str"/>
      <x:c r="W105" s="7" t="str"/>
      <x:c r="X105" s="7" t="str"/>
    </x:row>
    <x:row r="106" ht="96" customHeight="1">
      <x:c r="A106" s="3" t="str">
        <x:v>CC-T026-S01</x:v>
      </x:c>
      <x:c r="B106" s="3" t="str">
        <x:v>CC-T026</x:v>
      </x:c>
      <x:c r="C106" s="3" t="n">
        <x:v>1</x:v>
      </x:c>
      <x:c r="D106" s="3" t="str">
        <x:v>Establish regression and acceptance fixtures for expand the validated library.
1. Each published source has provenance and applicability records.
2. The potentially incompatible transmission material remains excluded until resolved.
3. Coverage gaps remain explicit.
4. New sources do not regress the pilot’s results.</x:v>
      </x:c>
      <x:c r="E106" s="7" t="str">
        <x:v>Not started</x:v>
      </x:c>
      <x:c r="F106" s="7" t="str"/>
      <x:c r="G106" s="3" t="str">
        <x:v>python -m pytest -q tests/acceptance/test_corpus_expansion.py
Confirm the relevant missing or incorrect behavior for the task's acceptance criteria; record the actual failing behavior and command result.</x:v>
      </x:c>
      <x:c r="H106" s="3" t="str">
        <x:v>Local development and applicable original manual review</x:v>
      </x:c>
      <x:c r="I106" s="7" t="str"/>
      <x:c r="J106" s="3" t="str">
        <x:v>Engineering</x:v>
      </x:c>
      <x:c r="K106" s="3" t="str">
        <x:v>Initial</x:v>
      </x:c>
      <x:c r="L106" s="3" t="str">
        <x:v>[]</x:v>
      </x:c>
      <x:c r="M106" s="3" t="str">
        <x:v>[]</x:v>
      </x:c>
      <x:c r="N106" s="3" t="str">
        <x:v>["CC-E105"]</x:v>
      </x:c>
      <x:c r="O106" s="3" t="str">
        <x:v>Fixtures cover these expected behaviors and demonstrate the relevant baseline gap:
Each published source has provenance and applicability records.
The potentially incompatible transmission material remains excluded until resolved.
Coverage gaps remain explicit.
New sources do not regress the pilot’s results.</x:v>
      </x:c>
      <x:c r="P106" s="3" t="str">
        <x:v>["tests/acceptance/test_corpus_expansion.py"]</x:v>
      </x:c>
      <x:c r="Q106" s="3" t="str">
        <x:v>CC_Workshop_Implementation_Plan.md#cc-t026--expand-the-validated-library</x:v>
      </x:c>
      <x:c r="R106" s="8" t="n">
        <x:v>46275.51530535879</x:v>
      </x:c>
      <x:c r="S106" s="8" t="str"/>
      <x:c r="T106" s="8" t="str"/>
      <x:c r="U106" s="7" t="str"/>
      <x:c r="V106" s="7" t="str"/>
      <x:c r="W106" s="7" t="str"/>
      <x:c r="X106" s="7" t="str"/>
    </x:row>
    <x:row r="107" ht="84" customHeight="1">
      <x:c r="A107" s="3" t="str">
        <x:v>CC-T026-S02</x:v>
      </x:c>
      <x:c r="B107" s="3" t="str">
        <x:v>CC-T026</x:v>
      </x:c>
      <x:c r="C107" s="3" t="n">
        <x:v>2</x:v>
      </x:c>
      <x:c r="D107" s="3" t="str">
        <x:v>Implement expand the validated library.
1. Add engine, transmission, electrical and wiring material through the same pipeline.
2. Review source applicability and completeness per document.
3. Maintain a coverage matrix.
4. Add wrong-variant distractors to evaluation fixtures.</x:v>
      </x:c>
      <x:c r="E107" s="7" t="str">
        <x:v>Not started</x:v>
      </x:c>
      <x:c r="F107" s="7" t="str"/>
      <x:c r="G107" s="3" t="str">
        <x:v>Implementation covers the task-specific behavior; no claim of verification is made until S03.</x:v>
      </x:c>
      <x:c r="H107" s="3" t="str">
        <x:v>Local development and applicable original manual review</x:v>
      </x:c>
      <x:c r="I107" s="7" t="str"/>
      <x:c r="J107" s="3" t="str">
        <x:v>Engineering</x:v>
      </x:c>
      <x:c r="K107" s="3" t="str">
        <x:v>Initial</x:v>
      </x:c>
      <x:c r="L107" s="3" t="str">
        <x:v>["CC-T026-S01"]</x:v>
      </x:c>
      <x:c r="M107" s="3" t="str">
        <x:v>[]</x:v>
      </x:c>
      <x:c r="N107" s="3" t="str">
        <x:v>["CC-E106"]</x:v>
      </x:c>
      <x:c r="O107" s="3" t="str">
        <x:v>Add engine, transmission, electrical and wiring material through the same pipeline.
Review source applicability and completeness per document.
Maintain a coverage matrix.
Add wrong-variant distractors to evaluation fixtures.</x:v>
      </x:c>
      <x:c r="P107" s="3" t="str">
        <x:v>[]</x:v>
      </x:c>
      <x:c r="Q107" s="3" t="str">
        <x:v>CC_Workshop_Implementation_Plan.md#cc-t026--expand-the-validated-library</x:v>
      </x:c>
      <x:c r="R107" s="8" t="n">
        <x:v>46275.51530535879</x:v>
      </x:c>
      <x:c r="S107" s="8" t="str"/>
      <x:c r="T107" s="8" t="str"/>
      <x:c r="U107" s="7" t="str"/>
      <x:c r="V107" s="7" t="str"/>
      <x:c r="W107" s="7" t="str"/>
      <x:c r="X107" s="7" t="str"/>
    </x:row>
    <x:row r="108" ht="84" customHeight="1">
      <x:c r="A108" s="3" t="str">
        <x:v>CC-T026-S03</x:v>
      </x:c>
      <x:c r="B108" s="3" t="str">
        <x:v>CC-T026</x:v>
      </x:c>
      <x:c r="C108" s="3" t="n">
        <x:v>3</x:v>
      </x:c>
      <x:c r="D108" s="3" t="str">
        <x:v>Verify expand the validated library against every acceptance criterion.
1. Each published source has provenance and applicability records.
2. The potentially incompatible transmission material remains excluded until resolved.
3. Coverage gaps remain explicit.
4. New sources do not regress the pilot’s results.</x:v>
      </x:c>
      <x:c r="E108" s="7" t="str">
        <x:v>Not started</x:v>
      </x:c>
      <x:c r="F108" s="7" t="str"/>
      <x:c r="G108" s="3" t="str">
        <x:v>python -m pytest -q tests/acceptance/test_corpus_expansion.py
All applicable acceptance criteria pass; separately record manual-source, hardware or clean-installation observations when required.</x:v>
      </x:c>
      <x:c r="H108" s="3" t="str">
        <x:v>Local development and applicable original manual review</x:v>
      </x:c>
      <x:c r="I108" s="7" t="str"/>
      <x:c r="J108" s="3" t="str">
        <x:v>Engineering</x:v>
      </x:c>
      <x:c r="K108" s="3" t="str">
        <x:v>Initial</x:v>
      </x:c>
      <x:c r="L108" s="3" t="str">
        <x:v>["CC-T026-S02"]</x:v>
      </x:c>
      <x:c r="M108" s="3" t="str">
        <x:v>[]</x:v>
      </x:c>
      <x:c r="N108" s="3" t="str">
        <x:v>["CC-E107"]</x:v>
      </x:c>
      <x:c r="O108" s="3" t="str">
        <x:v>Each published source has provenance and applicability records.
The potentially incompatible transmission material remains excluded until resolved.
Coverage gaps remain explicit.
New sources do not regress the pilot’s results.</x:v>
      </x:c>
      <x:c r="P108" s="3" t="str">
        <x:v>["evidence/CC-T026/verification/"]</x:v>
      </x:c>
      <x:c r="Q108" s="3" t="str">
        <x:v>CC_Workshop_Implementation_Plan.md#cc-t026--expand-the-validated-library</x:v>
      </x:c>
      <x:c r="R108" s="8" t="n">
        <x:v>46275.51530535879</x:v>
      </x:c>
      <x:c r="S108" s="8" t="str"/>
      <x:c r="T108" s="8" t="str"/>
      <x:c r="U108" s="7" t="str"/>
      <x:c r="V108" s="7" t="str"/>
      <x:c r="W108" s="7" t="str"/>
      <x:c r="X108" s="7" t="str"/>
    </x:row>
    <x:row r="109" ht="54" customHeight="1">
      <x:c r="A109" s="3" t="str">
        <x:v>CC-T026-S04</x:v>
      </x:c>
      <x:c r="B109" s="3" t="str">
        <x:v>CC-T026</x:v>
      </x:c>
      <x:c r="C109" s="3" t="n">
        <x:v>4</x:v>
      </x:c>
      <x:c r="D109" s="3" t="str">
        <x:v>Review expand the validated library, reconcile its evidence and handover, and record the commit if one is created.</x:v>
      </x:c>
      <x:c r="E109" s="7" t="str">
        <x:v>Not started</x:v>
      </x:c>
      <x:c r="F109" s="7" t="str"/>
      <x:c r="G109" s="3" t="str">
        <x:v>Independent review and all required evidence resolve task acceptance; tracker and handover agree. Record only an existing commit.</x:v>
      </x:c>
      <x:c r="H109" s="3" t="str">
        <x:v>Local development and applicable original manual review</x:v>
      </x:c>
      <x:c r="I109" s="7" t="str"/>
      <x:c r="J109" s="3" t="str">
        <x:v>Engineering</x:v>
      </x:c>
      <x:c r="K109" s="3" t="str">
        <x:v>Initial</x:v>
      </x:c>
      <x:c r="L109" s="3" t="str">
        <x:v>["CC-T026-S03"]</x:v>
      </x:c>
      <x:c r="M109" s="3" t="str">
        <x:v>[]</x:v>
      </x:c>
      <x:c r="N109" s="3" t="str">
        <x:v>["CC-E108"]</x:v>
      </x:c>
      <x:c r="O109" s="3" t="str">
        <x:v>Review findings resolved or explicitly recorded; evidence links valid; tracker consistent; commit field is blank or identifies an actual commit.</x:v>
      </x:c>
      <x:c r="P109" s="3" t="str">
        <x:v>["evidence/CC-T026/review/"]</x:v>
      </x:c>
      <x:c r="Q109" s="3" t="str">
        <x:v>CC_Workshop_Implementation_Plan.md#cc-t026--expand-the-validated-library</x:v>
      </x:c>
      <x:c r="R109" s="8" t="n">
        <x:v>46275.51530535879</x:v>
      </x:c>
      <x:c r="S109" s="8" t="str"/>
      <x:c r="T109" s="8" t="str"/>
      <x:c r="U109" s="7" t="str"/>
      <x:c r="V109" s="7" t="str"/>
      <x:c r="W109" s="7" t="str"/>
      <x:c r="X109" s="7" t="str"/>
    </x:row>
    <x:row r="110" ht="108" customHeight="1">
      <x:c r="A110" s="3" t="str">
        <x:v>CC-T027-S01</x:v>
      </x:c>
      <x:c r="B110" s="3" t="str">
        <x:v>CC-T027</x:v>
      </x:c>
      <x:c r="C110" s="3" t="n">
        <x:v>1</x:v>
      </x:c>
      <x:c r="D110" s="3" t="str">
        <x:v>Establish regression and acceptance fixtures for verify offline behavior and optional lan access.
1. Internet-disconnected search, answers, images, citations and exports work.
2. LAN is disabled by default.
3. Unauthenticated clients cannot access vehicle data.
4. Model ports are not exposed to the LAN.
5. Network observation finds no unexpected public connections.</x:v>
      </x:c>
      <x:c r="E110" s="7" t="str">
        <x:v>Not started</x:v>
      </x:c>
      <x:c r="F110" s="7" t="str"/>
      <x:c r="G110" s="3" t="str">
        <x:v>python -m pytest -q tests/acceptance/test_offline_and_lan.py
Confirm the relevant missing or incorrect behavior for the task's acceptance criteria; record the actual failing behavior and command result.</x:v>
      </x:c>
      <x:c r="H110" s="3" t="str">
        <x:v>Local machine and authenticated LAN/offline test environment</x:v>
      </x:c>
      <x:c r="I110" s="7" t="str"/>
      <x:c r="J110" s="3" t="str">
        <x:v>Engineering</x:v>
      </x:c>
      <x:c r="K110" s="3" t="str">
        <x:v>Initial</x:v>
      </x:c>
      <x:c r="L110" s="3" t="str">
        <x:v>[]</x:v>
      </x:c>
      <x:c r="M110" s="3" t="str">
        <x:v>[]</x:v>
      </x:c>
      <x:c r="N110" s="3" t="str">
        <x:v>["CC-E109"]</x:v>
      </x:c>
      <x:c r="O110" s="3" t="str">
        <x:v>Fixtures cover these expected behaviors and demonstrate the relevant baseline gap:
Internet-disconnected search, answers, images, citations and exports work.
LAN is disabled by default.
Unauthenticated clients cannot access vehicle data.
Model ports are not exposed to the LAN.
Network observation finds no unexpected public connections.</x:v>
      </x:c>
      <x:c r="P110" s="3" t="str">
        <x:v>["tests/acceptance/test_offline_and_lan.py"]</x:v>
      </x:c>
      <x:c r="Q110" s="3" t="str">
        <x:v>CC_Workshop_Implementation_Plan.md#cc-t027--verify-offline-behavior-and-optional-lan-access</x:v>
      </x:c>
      <x:c r="R110" s="8" t="n">
        <x:v>46275.51530535879</x:v>
      </x:c>
      <x:c r="S110" s="8" t="str"/>
      <x:c r="T110" s="8" t="str"/>
      <x:c r="U110" s="7" t="str"/>
      <x:c r="V110" s="7" t="str"/>
      <x:c r="W110" s="7" t="str"/>
      <x:c r="X110" s="7" t="str"/>
    </x:row>
    <x:row r="111" ht="84" customHeight="1">
      <x:c r="A111" s="3" t="str">
        <x:v>CC-T027-S02</x:v>
      </x:c>
      <x:c r="B111" s="3" t="str">
        <x:v>CC-T027</x:v>
      </x:c>
      <x:c r="C111" s="3" t="n">
        <x:v>2</x:v>
      </x:c>
      <x:c r="D111" s="3" t="str">
        <x:v>Implement verify offline behavior and optional lan access.
1. Enforce local-only endpoint policy.
2. Remove runtime CDN, telemetry and cloud routing dependencies.
3. Add owner authentication and optional LAN HTTPS.
4. Keep all model and database services private.
5. Document client trust setup.</x:v>
      </x:c>
      <x:c r="E111" s="7" t="str">
        <x:v>Not started</x:v>
      </x:c>
      <x:c r="F111" s="7" t="str"/>
      <x:c r="G111" s="3" t="str">
        <x:v>Implementation covers the task-specific behavior; no claim of verification is made until S03.</x:v>
      </x:c>
      <x:c r="H111" s="3" t="str">
        <x:v>Local machine and authenticated LAN/offline test environment</x:v>
      </x:c>
      <x:c r="I111" s="7" t="str"/>
      <x:c r="J111" s="3" t="str">
        <x:v>Engineering</x:v>
      </x:c>
      <x:c r="K111" s="3" t="str">
        <x:v>Initial</x:v>
      </x:c>
      <x:c r="L111" s="3" t="str">
        <x:v>["CC-T027-S01"]</x:v>
      </x:c>
      <x:c r="M111" s="3" t="str">
        <x:v>[]</x:v>
      </x:c>
      <x:c r="N111" s="3" t="str">
        <x:v>["CC-E110"]</x:v>
      </x:c>
      <x:c r="O111" s="3" t="str">
        <x:v>Enforce local-only endpoint policy.
Remove runtime CDN, telemetry and cloud routing dependencies.
Add owner authentication and optional LAN HTTPS.
Keep all model and database services private.
Document client trust setup.</x:v>
      </x:c>
      <x:c r="P111" s="3" t="str">
        <x:v>[]</x:v>
      </x:c>
      <x:c r="Q111" s="3" t="str">
        <x:v>CC_Workshop_Implementation_Plan.md#cc-t027--verify-offline-behavior-and-optional-lan-access</x:v>
      </x:c>
      <x:c r="R111" s="8" t="n">
        <x:v>46275.51530535879</x:v>
      </x:c>
      <x:c r="S111" s="8" t="str"/>
      <x:c r="T111" s="8" t="str"/>
      <x:c r="U111" s="7" t="str"/>
      <x:c r="V111" s="7" t="str"/>
      <x:c r="W111" s="7" t="str"/>
      <x:c r="X111" s="7" t="str"/>
    </x:row>
    <x:row r="112" ht="108" customHeight="1">
      <x:c r="A112" s="3" t="str">
        <x:v>CC-T027-S03</x:v>
      </x:c>
      <x:c r="B112" s="3" t="str">
        <x:v>CC-T027</x:v>
      </x:c>
      <x:c r="C112" s="3" t="n">
        <x:v>3</x:v>
      </x:c>
      <x:c r="D112" s="3" t="str">
        <x:v>Verify verify offline behavior and optional lan access against every acceptance criterion.
1. Internet-disconnected search, answers, images, citations and exports work.
2. LAN is disabled by default.
3. Unauthenticated clients cannot access vehicle data.
4. Model ports are not exposed to the LAN.
5. Network observation finds no unexpected public connections.</x:v>
      </x:c>
      <x:c r="E112" s="7" t="str">
        <x:v>Not started</x:v>
      </x:c>
      <x:c r="F112" s="7" t="str"/>
      <x:c r="G112" s="3" t="str">
        <x:v>python -m pytest -q tests/acceptance/test_offline_and_lan.py
All applicable acceptance criteria pass; separately record manual-source, hardware or clean-installation observations when required.</x:v>
      </x:c>
      <x:c r="H112" s="3" t="str">
        <x:v>Local machine and authenticated LAN/offline test environment</x:v>
      </x:c>
      <x:c r="I112" s="7" t="str"/>
      <x:c r="J112" s="3" t="str">
        <x:v>Engineering</x:v>
      </x:c>
      <x:c r="K112" s="3" t="str">
        <x:v>Initial</x:v>
      </x:c>
      <x:c r="L112" s="3" t="str">
        <x:v>["CC-T027-S02"]</x:v>
      </x:c>
      <x:c r="M112" s="3" t="str">
        <x:v>[]</x:v>
      </x:c>
      <x:c r="N112" s="3" t="str">
        <x:v>["CC-E111"]</x:v>
      </x:c>
      <x:c r="O112" s="3" t="str">
        <x:v>Internet-disconnected search, answers, images, citations and exports work.
LAN is disabled by default.
Unauthenticated clients cannot access vehicle data.
Model ports are not exposed to the LAN.
Network observation finds no unexpected public connections.</x:v>
      </x:c>
      <x:c r="P112" s="3" t="str">
        <x:v>["evidence/CC-T027/verification/"]</x:v>
      </x:c>
      <x:c r="Q112" s="3" t="str">
        <x:v>CC_Workshop_Implementation_Plan.md#cc-t027--verify-offline-behavior-and-optional-lan-access</x:v>
      </x:c>
      <x:c r="R112" s="8" t="n">
        <x:v>46275.51530535879</x:v>
      </x:c>
      <x:c r="S112" s="8" t="str"/>
      <x:c r="T112" s="8" t="str"/>
      <x:c r="U112" s="7" t="str"/>
      <x:c r="V112" s="7" t="str"/>
      <x:c r="W112" s="7" t="str"/>
      <x:c r="X112" s="7" t="str"/>
    </x:row>
    <x:row r="113" ht="54" customHeight="1">
      <x:c r="A113" s="3" t="str">
        <x:v>CC-T027-S04</x:v>
      </x:c>
      <x:c r="B113" s="3" t="str">
        <x:v>CC-T027</x:v>
      </x:c>
      <x:c r="C113" s="3" t="n">
        <x:v>4</x:v>
      </x:c>
      <x:c r="D113" s="3" t="str">
        <x:v>Review verify offline behavior and optional lan access, reconcile its evidence and handover, and record the commit if one is created.</x:v>
      </x:c>
      <x:c r="E113" s="7" t="str">
        <x:v>Not started</x:v>
      </x:c>
      <x:c r="F113" s="7" t="str"/>
      <x:c r="G113" s="3" t="str">
        <x:v>Independent review and all required evidence resolve task acceptance; tracker and handover agree. Record only an existing commit.</x:v>
      </x:c>
      <x:c r="H113" s="3" t="str">
        <x:v>Local machine and authenticated LAN/offline test environment</x:v>
      </x:c>
      <x:c r="I113" s="7" t="str"/>
      <x:c r="J113" s="3" t="str">
        <x:v>Engineering</x:v>
      </x:c>
      <x:c r="K113" s="3" t="str">
        <x:v>Initial</x:v>
      </x:c>
      <x:c r="L113" s="3" t="str">
        <x:v>["CC-T027-S03"]</x:v>
      </x:c>
      <x:c r="M113" s="3" t="str">
        <x:v>[]</x:v>
      </x:c>
      <x:c r="N113" s="3" t="str">
        <x:v>["CC-E112"]</x:v>
      </x:c>
      <x:c r="O113" s="3" t="str">
        <x:v>Review findings resolved or explicitly recorded; evidence links valid; tracker consistent; commit field is blank or identifies an actual commit.</x:v>
      </x:c>
      <x:c r="P113" s="3" t="str">
        <x:v>["evidence/CC-T027/review/"]</x:v>
      </x:c>
      <x:c r="Q113" s="3" t="str">
        <x:v>CC_Workshop_Implementation_Plan.md#cc-t027--verify-offline-behavior-and-optional-lan-access</x:v>
      </x:c>
      <x:c r="R113" s="8" t="n">
        <x:v>46275.51530535879</x:v>
      </x:c>
      <x:c r="S113" s="8" t="str"/>
      <x:c r="T113" s="8" t="str"/>
      <x:c r="U113" s="7" t="str"/>
      <x:c r="V113" s="7" t="str"/>
      <x:c r="W113" s="7" t="str"/>
      <x:c r="X113" s="7" t="str"/>
    </x:row>
    <x:row r="114" ht="96" customHeight="1">
      <x:c r="A114" s="3" t="str">
        <x:v>CC-T028-S01</x:v>
      </x:c>
      <x:c r="B114" s="3" t="str">
        <x:v>CC-T028</x:v>
      </x:c>
      <x:c r="C114" s="3" t="n">
        <x:v>1</x:v>
      </x:c>
      <x:c r="D114" s="3" t="str">
        <x:v>Establish regression and acceptance fixtures for implement migration, backup and restore.
1. Migration reports reconcile imported, rejected and unresolved records.
2. The original dataset remains intact.
3. Restored vehicle history and source links match the backup.
4. Incompatible schema versions fail before replacing current data.
5. A corrupt backup leaves the current installation usable.</x:v>
      </x:c>
      <x:c r="E114" s="7" t="str">
        <x:v>Not started</x:v>
      </x:c>
      <x:c r="F114" s="7" t="str"/>
      <x:c r="G114" s="3" t="str">
        <x:v>python -m pytest -q tests/acceptance/test_backup_restore.py
Confirm the relevant missing or incorrect behavior for the task's acceptance criteria; record the actual failing behavior and command result.</x:v>
      </x:c>
      <x:c r="H114" s="3" t="str">
        <x:v>Local development</x:v>
      </x:c>
      <x:c r="I114" s="7" t="str"/>
      <x:c r="J114" s="3" t="str">
        <x:v>Engineering</x:v>
      </x:c>
      <x:c r="K114" s="3" t="str">
        <x:v>Initial</x:v>
      </x:c>
      <x:c r="L114" s="3" t="str">
        <x:v>[]</x:v>
      </x:c>
      <x:c r="M114" s="3" t="str">
        <x:v>[]</x:v>
      </x:c>
      <x:c r="N114" s="3" t="str">
        <x:v>["CC-E113"]</x:v>
      </x:c>
      <x:c r="O114" s="3" t="str">
        <x:v>Fixtures cover these expected behaviors and demonstrate the relevant baseline gap:
Migration reports reconcile imported, rejected and unresolved records.
The original dataset remains intact.
Restored vehicle history and source links match the backup.
Incompatible schema versions fail before replacing current data.
A corrupt backup leaves the current installation usable.</x:v>
      </x:c>
      <x:c r="P114" s="3" t="str">
        <x:v>["tests/acceptance/test_backup_restore.py"]</x:v>
      </x:c>
      <x:c r="Q114" s="3" t="str">
        <x:v>CC_Workshop_Implementation_Plan.md#cc-t028--implement-migration-backup-and-restore</x:v>
      </x:c>
      <x:c r="R114" s="8" t="n">
        <x:v>46275.51530535879</x:v>
      </x:c>
      <x:c r="S114" s="8" t="str"/>
      <x:c r="T114" s="8" t="str"/>
      <x:c r="U114" s="7" t="str"/>
      <x:c r="V114" s="7" t="str"/>
      <x:c r="W114" s="7" t="str"/>
      <x:c r="X114" s="7" t="str"/>
    </x:row>
    <x:row r="115" ht="108" customHeight="1">
      <x:c r="A115" s="3" t="str">
        <x:v>CC-T028-S02</x:v>
      </x:c>
      <x:c r="B115" s="3" t="str">
        <x:v>CC-T028</x:v>
      </x:c>
      <x:c r="C115" s="3" t="n">
        <x:v>2</x:v>
      </x:c>
      <x:c r="D115" s="3" t="str">
        <x:v>Implement implement migration, backup and restore.
1. Import legacy JSONL, manifests and compatible database exports through a migration boundary.
2. Preserve originals and report unresolved mappings.
3. Back up application records, source files, exports and version manifests.
4. Rebuild disposable indexes when required.
5. Restore into a separate clean data root before activation.</x:v>
      </x:c>
      <x:c r="E115" s="7" t="str">
        <x:v>Not started</x:v>
      </x:c>
      <x:c r="F115" s="7" t="str"/>
      <x:c r="G115" s="3" t="str">
        <x:v>Implementation covers the task-specific behavior; no claim of verification is made until S03.</x:v>
      </x:c>
      <x:c r="H115" s="3" t="str">
        <x:v>Local development</x:v>
      </x:c>
      <x:c r="I115" s="7" t="str"/>
      <x:c r="J115" s="3" t="str">
        <x:v>Engineering</x:v>
      </x:c>
      <x:c r="K115" s="3" t="str">
        <x:v>Initial</x:v>
      </x:c>
      <x:c r="L115" s="3" t="str">
        <x:v>["CC-T028-S01"]</x:v>
      </x:c>
      <x:c r="M115" s="3" t="str">
        <x:v>[]</x:v>
      </x:c>
      <x:c r="N115" s="3" t="str">
        <x:v>["CC-E114"]</x:v>
      </x:c>
      <x:c r="O115" s="3" t="str">
        <x:v>Import legacy JSONL, manifests and compatible database exports through a migration boundary.
Preserve originals and report unresolved mappings.
Back up application records, source files, exports and version manifests.
Rebuild disposable indexes when required.
Restore into a separate clean data root before activation.</x:v>
      </x:c>
      <x:c r="P115" s="3" t="str">
        <x:v>[]</x:v>
      </x:c>
      <x:c r="Q115" s="3" t="str">
        <x:v>CC_Workshop_Implementation_Plan.md#cc-t028--implement-migration-backup-and-restore</x:v>
      </x:c>
      <x:c r="R115" s="8" t="n">
        <x:v>46275.51530535879</x:v>
      </x:c>
      <x:c r="S115" s="8" t="str"/>
      <x:c r="T115" s="8" t="str"/>
      <x:c r="U115" s="7" t="str"/>
      <x:c r="V115" s="7" t="str"/>
      <x:c r="W115" s="7" t="str"/>
      <x:c r="X115" s="7" t="str"/>
    </x:row>
    <x:row r="116" ht="96" customHeight="1">
      <x:c r="A116" s="3" t="str">
        <x:v>CC-T028-S03</x:v>
      </x:c>
      <x:c r="B116" s="3" t="str">
        <x:v>CC-T028</x:v>
      </x:c>
      <x:c r="C116" s="3" t="n">
        <x:v>3</x:v>
      </x:c>
      <x:c r="D116" s="3" t="str">
        <x:v>Verify implement migration, backup and restore against every acceptance criterion.
1. Migration reports reconcile imported, rejected and unresolved records.
2. The original dataset remains intact.
3. Restored vehicle history and source links match the backup.
4. Incompatible schema versions fail before replacing current data.
5. A corrupt backup leaves the current installation usable.</x:v>
      </x:c>
      <x:c r="E116" s="7" t="str">
        <x:v>Not started</x:v>
      </x:c>
      <x:c r="F116" s="7" t="str"/>
      <x:c r="G116" s="3" t="str">
        <x:v>python -m pytest -q tests/acceptance/test_backup_restore.py
All applicable acceptance criteria pass; separately record manual-source, hardware or clean-installation observations when required.</x:v>
      </x:c>
      <x:c r="H116" s="3" t="str">
        <x:v>Local development</x:v>
      </x:c>
      <x:c r="I116" s="7" t="str"/>
      <x:c r="J116" s="3" t="str">
        <x:v>Engineering</x:v>
      </x:c>
      <x:c r="K116" s="3" t="str">
        <x:v>Initial</x:v>
      </x:c>
      <x:c r="L116" s="3" t="str">
        <x:v>["CC-T028-S02"]</x:v>
      </x:c>
      <x:c r="M116" s="3" t="str">
        <x:v>[]</x:v>
      </x:c>
      <x:c r="N116" s="3" t="str">
        <x:v>["CC-E115"]</x:v>
      </x:c>
      <x:c r="O116" s="3" t="str">
        <x:v>Migration reports reconcile imported, rejected and unresolved records.
The original dataset remains intact.
Restored vehicle history and source links match the backup.
Incompatible schema versions fail before replacing current data.
A corrupt backup leaves the current installation usable.</x:v>
      </x:c>
      <x:c r="P116" s="3" t="str">
        <x:v>["evidence/CC-T028/verification/"]</x:v>
      </x:c>
      <x:c r="Q116" s="3" t="str">
        <x:v>CC_Workshop_Implementation_Plan.md#cc-t028--implement-migration-backup-and-restore</x:v>
      </x:c>
      <x:c r="R116" s="8" t="n">
        <x:v>46275.51530535879</x:v>
      </x:c>
      <x:c r="S116" s="8" t="str"/>
      <x:c r="T116" s="8" t="str"/>
      <x:c r="U116" s="7" t="str"/>
      <x:c r="V116" s="7" t="str"/>
      <x:c r="W116" s="7" t="str"/>
      <x:c r="X116" s="7" t="str"/>
    </x:row>
    <x:row r="117" ht="54" customHeight="1">
      <x:c r="A117" s="3" t="str">
        <x:v>CC-T028-S04</x:v>
      </x:c>
      <x:c r="B117" s="3" t="str">
        <x:v>CC-T028</x:v>
      </x:c>
      <x:c r="C117" s="3" t="n">
        <x:v>4</x:v>
      </x:c>
      <x:c r="D117" s="3" t="str">
        <x:v>Review implement migration, backup and restore, reconcile its evidence and handover, and record the commit if one is created.</x:v>
      </x:c>
      <x:c r="E117" s="7" t="str">
        <x:v>Not started</x:v>
      </x:c>
      <x:c r="F117" s="7" t="str"/>
      <x:c r="G117" s="3" t="str">
        <x:v>Independent review and all required evidence resolve task acceptance; tracker and handover agree. Record only an existing commit.</x:v>
      </x:c>
      <x:c r="H117" s="3" t="str">
        <x:v>Local development</x:v>
      </x:c>
      <x:c r="I117" s="7" t="str"/>
      <x:c r="J117" s="3" t="str">
        <x:v>Engineering</x:v>
      </x:c>
      <x:c r="K117" s="3" t="str">
        <x:v>Initial</x:v>
      </x:c>
      <x:c r="L117" s="3" t="str">
        <x:v>["CC-T028-S03"]</x:v>
      </x:c>
      <x:c r="M117" s="3" t="str">
        <x:v>[]</x:v>
      </x:c>
      <x:c r="N117" s="3" t="str">
        <x:v>["CC-E116"]</x:v>
      </x:c>
      <x:c r="O117" s="3" t="str">
        <x:v>Review findings resolved or explicitly recorded; evidence links valid; tracker consistent; commit field is blank or identifies an actual commit.</x:v>
      </x:c>
      <x:c r="P117" s="3" t="str">
        <x:v>["evidence/CC-T028/review/"]</x:v>
      </x:c>
      <x:c r="Q117" s="3" t="str">
        <x:v>CC_Workshop_Implementation_Plan.md#cc-t028--implement-migration-backup-and-restore</x:v>
      </x:c>
      <x:c r="R117" s="8" t="n">
        <x:v>46275.51530535879</x:v>
      </x:c>
      <x:c r="S117" s="8" t="str"/>
      <x:c r="T117" s="8" t="str"/>
      <x:c r="U117" s="7" t="str"/>
      <x:c r="V117" s="7" t="str"/>
      <x:c r="W117" s="7" t="str"/>
      <x:c r="X117" s="7" t="str"/>
    </x:row>
    <x:row r="118" ht="108" customHeight="1">
      <x:c r="A118" s="3" t="str">
        <x:v>CC-T029-S01</x:v>
      </x:c>
      <x:c r="B118" s="3" t="str">
        <x:v>CC-T029</x:v>
      </x:c>
      <x:c r="C118" s="3" t="n">
        <x:v>1</x:v>
      </x:c>
      <x:c r="D118" s="3" t="str">
        <x:v>Establish regression and acceptance fixtures for build the windows installer and offline kit.
1. Installation works on a clean supported Windows profile.
2. No pre-existing Python, Ollama or development cache is required.
3. Missing model assets produce an actionable setup state.
4. Upgrade preserves Garages.
5. Uninstall behavior clearly distinguishes application removal from user-data deletion.</x:v>
      </x:c>
      <x:c r="E118" s="7" t="str">
        <x:v>Not started</x:v>
      </x:c>
      <x:c r="F118" s="7" t="str"/>
      <x:c r="G118" s="3" t="str">
        <x:v>python -m pytest -q tests/acceptance/test_windows_installation.py
Confirm the relevant missing or incorrect behavior for the task's acceptance criteria; record the actual failing behavior and command result.</x:v>
      </x:c>
      <x:c r="H118" s="3" t="str">
        <x:v>Windows x64; clean installation environment</x:v>
      </x:c>
      <x:c r="I118" s="7" t="str"/>
      <x:c r="J118" s="3" t="str">
        <x:v>Engineering</x:v>
      </x:c>
      <x:c r="K118" s="3" t="str">
        <x:v>Initial</x:v>
      </x:c>
      <x:c r="L118" s="3" t="str">
        <x:v>[]</x:v>
      </x:c>
      <x:c r="M118" s="3" t="str">
        <x:v>[]</x:v>
      </x:c>
      <x:c r="N118" s="3" t="str">
        <x:v>["CC-E117"]</x:v>
      </x:c>
      <x:c r="O118" s="3" t="str">
        <x:v>Fixtures cover these expected behaviors and demonstrate the relevant baseline gap:
Installation works on a clean supported Windows profile.
No pre-existing Python, Ollama or development cache is required.
Missing model assets produce an actionable setup state.
Upgrade preserves Garages.
Uninstall behavior clearly distinguishes application removal from user-data deletion.</x:v>
      </x:c>
      <x:c r="P118" s="3" t="str">
        <x:v>["tests/acceptance/test_windows_installation.py"]</x:v>
      </x:c>
      <x:c r="Q118" s="3" t="str">
        <x:v>CC_Workshop_Implementation_Plan.md#cc-t029--build-the-windows-installer-and-offline-kit</x:v>
      </x:c>
      <x:c r="R118" s="8" t="n">
        <x:v>46275.51530535879</x:v>
      </x:c>
      <x:c r="S118" s="8" t="str"/>
      <x:c r="T118" s="8" t="str"/>
      <x:c r="U118" s="7" t="str"/>
      <x:c r="V118" s="7" t="str"/>
      <x:c r="W118" s="7" t="str"/>
      <x:c r="X118" s="7" t="str"/>
    </x:row>
    <x:row r="119" ht="108" customHeight="1">
      <x:c r="A119" s="3" t="str">
        <x:v>CC-T029-S02</x:v>
      </x:c>
      <x:c r="B119" s="3" t="str">
        <x:v>CC-T029</x:v>
      </x:c>
      <x:c r="C119" s="3" t="n">
        <x:v>2</x:v>
      </x:c>
      <x:c r="D119" s="3" t="str">
        <x:v>Implement build the windows installer and offline kit.
1. Build the application folder bundle.
2. Include native dependencies, PDF assets, OCR assets and the selected runtime.
3. Handle the required WebView runtime through an explicit installation/offline provisioning path.
4. Create the installer and offline asset manifest.
5. Preserve user data during upgrade and default uninstall.</x:v>
      </x:c>
      <x:c r="E119" s="7" t="str">
        <x:v>Not started</x:v>
      </x:c>
      <x:c r="F119" s="7" t="str"/>
      <x:c r="G119" s="3" t="str">
        <x:v>Implementation covers the task-specific behavior; no claim of verification is made until S03.</x:v>
      </x:c>
      <x:c r="H119" s="3" t="str">
        <x:v>Windows x64; clean installation environment</x:v>
      </x:c>
      <x:c r="I119" s="7" t="str"/>
      <x:c r="J119" s="3" t="str">
        <x:v>Engineering</x:v>
      </x:c>
      <x:c r="K119" s="3" t="str">
        <x:v>Initial</x:v>
      </x:c>
      <x:c r="L119" s="3" t="str">
        <x:v>["CC-T029-S01"]</x:v>
      </x:c>
      <x:c r="M119" s="3" t="str">
        <x:v>[]</x:v>
      </x:c>
      <x:c r="N119" s="3" t="str">
        <x:v>["CC-E118"]</x:v>
      </x:c>
      <x:c r="O119" s="3" t="str">
        <x:v>Build the application folder bundle.
Include native dependencies, PDF assets, OCR assets and the selected runtime.
Handle the required WebView runtime through an explicit installation/offline provisioning path.
Create the installer and offline asset manifest.
Preserve user data during upgrade and default uninstall.</x:v>
      </x:c>
      <x:c r="P119" s="3" t="str">
        <x:v>[]</x:v>
      </x:c>
      <x:c r="Q119" s="3" t="str">
        <x:v>CC_Workshop_Implementation_Plan.md#cc-t029--build-the-windows-installer-and-offline-kit</x:v>
      </x:c>
      <x:c r="R119" s="8" t="n">
        <x:v>46275.51530535879</x:v>
      </x:c>
      <x:c r="S119" s="8" t="str"/>
      <x:c r="T119" s="8" t="str"/>
      <x:c r="U119" s="7" t="str"/>
      <x:c r="V119" s="7" t="str"/>
      <x:c r="W119" s="7" t="str"/>
      <x:c r="X119" s="7" t="str"/>
    </x:row>
    <x:row r="120" ht="108" customHeight="1">
      <x:c r="A120" s="3" t="str">
        <x:v>CC-T029-S03</x:v>
      </x:c>
      <x:c r="B120" s="3" t="str">
        <x:v>CC-T029</x:v>
      </x:c>
      <x:c r="C120" s="3" t="n">
        <x:v>3</x:v>
      </x:c>
      <x:c r="D120" s="3" t="str">
        <x:v>Verify build the windows installer and offline kit against every acceptance criterion.
1. Installation works on a clean supported Windows profile.
2. No pre-existing Python, Ollama or development cache is required.
3. Missing model assets produce an actionable setup state.
4. Upgrade preserves Garages.
5. Uninstall behavior clearly distinguishes application removal from user-data deletion.</x:v>
      </x:c>
      <x:c r="E120" s="7" t="str">
        <x:v>Not started</x:v>
      </x:c>
      <x:c r="F120" s="7" t="str"/>
      <x:c r="G120" s="3" t="str">
        <x:v>python -m pytest -q tests/acceptance/test_windows_installation.py
All applicable acceptance criteria pass; separately record manual-source, hardware or clean-installation observations when required.</x:v>
      </x:c>
      <x:c r="H120" s="3" t="str">
        <x:v>Windows x64; clean installation environment</x:v>
      </x:c>
      <x:c r="I120" s="7" t="str"/>
      <x:c r="J120" s="3" t="str">
        <x:v>Engineering</x:v>
      </x:c>
      <x:c r="K120" s="3" t="str">
        <x:v>Initial</x:v>
      </x:c>
      <x:c r="L120" s="3" t="str">
        <x:v>["CC-T029-S02"]</x:v>
      </x:c>
      <x:c r="M120" s="3" t="str">
        <x:v>[]</x:v>
      </x:c>
      <x:c r="N120" s="3" t="str">
        <x:v>["CC-E119"]</x:v>
      </x:c>
      <x:c r="O120" s="3" t="str">
        <x:v>Installation works on a clean supported Windows profile.
No pre-existing Python, Ollama or development cache is required.
Missing model assets produce an actionable setup state.
Upgrade preserves Garages.
Uninstall behavior clearly distinguishes application removal from user-data deletion.</x:v>
      </x:c>
      <x:c r="P120" s="3" t="str">
        <x:v>["evidence/CC-T029/verification/"]</x:v>
      </x:c>
      <x:c r="Q120" s="3" t="str">
        <x:v>CC_Workshop_Implementation_Plan.md#cc-t029--build-the-windows-installer-and-offline-kit</x:v>
      </x:c>
      <x:c r="R120" s="8" t="n">
        <x:v>46275.51530535879</x:v>
      </x:c>
      <x:c r="S120" s="8" t="str"/>
      <x:c r="T120" s="8" t="str"/>
      <x:c r="U120" s="7" t="str"/>
      <x:c r="V120" s="7" t="str"/>
      <x:c r="W120" s="7" t="str"/>
      <x:c r="X120" s="7" t="str"/>
    </x:row>
    <x:row r="121" ht="54" customHeight="1">
      <x:c r="A121" s="3" t="str">
        <x:v>CC-T029-S04</x:v>
      </x:c>
      <x:c r="B121" s="3" t="str">
        <x:v>CC-T029</x:v>
      </x:c>
      <x:c r="C121" s="3" t="n">
        <x:v>4</x:v>
      </x:c>
      <x:c r="D121" s="3" t="str">
        <x:v>Review build the windows installer and offline kit, reconcile its evidence and handover, and record the commit if one is created.</x:v>
      </x:c>
      <x:c r="E121" s="7" t="str">
        <x:v>Not started</x:v>
      </x:c>
      <x:c r="F121" s="7" t="str"/>
      <x:c r="G121" s="3" t="str">
        <x:v>Independent review and all required evidence resolve task acceptance; tracker and handover agree. Record only an existing commit.</x:v>
      </x:c>
      <x:c r="H121" s="3" t="str">
        <x:v>Windows x64; clean installation environment</x:v>
      </x:c>
      <x:c r="I121" s="7" t="str"/>
      <x:c r="J121" s="3" t="str">
        <x:v>Engineering</x:v>
      </x:c>
      <x:c r="K121" s="3" t="str">
        <x:v>Initial</x:v>
      </x:c>
      <x:c r="L121" s="3" t="str">
        <x:v>["CC-T029-S03"]</x:v>
      </x:c>
      <x:c r="M121" s="3" t="str">
        <x:v>[]</x:v>
      </x:c>
      <x:c r="N121" s="3" t="str">
        <x:v>["CC-E120"]</x:v>
      </x:c>
      <x:c r="O121" s="3" t="str">
        <x:v>Review findings resolved or explicitly recorded; evidence links valid; tracker consistent; commit field is blank or identifies an actual commit.</x:v>
      </x:c>
      <x:c r="P121" s="3" t="str">
        <x:v>["evidence/CC-T029/review/"]</x:v>
      </x:c>
      <x:c r="Q121" s="3" t="str">
        <x:v>CC_Workshop_Implementation_Plan.md#cc-t029--build-the-windows-installer-and-offline-kit</x:v>
      </x:c>
      <x:c r="R121" s="8" t="n">
        <x:v>46275.51530535879</x:v>
      </x:c>
      <x:c r="S121" s="8" t="str"/>
      <x:c r="T121" s="8" t="str"/>
      <x:c r="U121" s="7" t="str"/>
      <x:c r="V121" s="7" t="str"/>
      <x:c r="W121" s="7" t="str"/>
      <x:c r="X121" s="7" t="str"/>
    </x:row>
    <x:row r="122" ht="120" customHeight="1">
      <x:c r="A122" s="3" t="str">
        <x:v>CC-T030-S01</x:v>
      </x:c>
      <x:c r="B122" s="3" t="str">
        <x:v>CC-T030</x:v>
      </x:c>
      <x:c r="C122" s="3" t="n">
        <x:v>1</x:v>
      </x:c>
      <x:c r="D122" s="3" t="str">
        <x:v>Establish regression and acceptance fixtures for benchmark portable hardware profiles.
1. Every supported profile has actual execution evidence.
2. No result is extrapolated into an untested GPU configuration.
3. A larger model is selected only when it improves measured quality within available resources.
4. Results include model, projector, runtime and configuration hashes.
5. The application remains useful for source viewing and direct approved facts when generation is unavailable.</x:v>
      </x:c>
      <x:c r="E122" s="7" t="str">
        <x:v>Not started</x:v>
      </x:c>
      <x:c r="F122" s="7" t="str"/>
      <x:c r="G122" s="3" t="str">
        <x:v>python -m pytest -q tests/acceptance/test_hardware_profiles.py
Confirm the relevant missing or incorrect behavior for the task's acceptance criteria; record the actual failing behavior and command result.</x:v>
      </x:c>
      <x:c r="H122" s="3" t="str">
        <x:v>Local development; actual supported hardware for hardware gates</x:v>
      </x:c>
      <x:c r="I122" s="7" t="str"/>
      <x:c r="J122" s="3" t="str">
        <x:v>Engineering</x:v>
      </x:c>
      <x:c r="K122" s="3" t="str">
        <x:v>Initial</x:v>
      </x:c>
      <x:c r="L122" s="3" t="str">
        <x:v>[]</x:v>
      </x:c>
      <x:c r="M122" s="3" t="str">
        <x:v>[]</x:v>
      </x:c>
      <x:c r="N122" s="3" t="str">
        <x:v>["CC-E121"]</x:v>
      </x:c>
      <x:c r="O122" s="3" t="str">
        <x:v>Fixtures cover these expected behaviors and demonstrate the relevant baseline gap:
Every supported profile has actual execution evidence.
No result is extrapolated into an untested GPU configuration.
A larger model is selected only when it improves measured quality within available resources.
Results include model, projector, runtime and configuration hashes.
The application remains useful for source viewing and direct approved facts when generation is unavailable.</x:v>
      </x:c>
      <x:c r="P122" s="3" t="str">
        <x:v>["tests/acceptance/test_hardware_profiles.py"]</x:v>
      </x:c>
      <x:c r="Q122" s="3" t="str">
        <x:v>CC_Workshop_Implementation_Plan.md#cc-t030--benchmark-portable-hardware-profiles</x:v>
      </x:c>
      <x:c r="R122" s="8" t="n">
        <x:v>46275.51530535879</x:v>
      </x:c>
      <x:c r="S122" s="8" t="str"/>
      <x:c r="T122" s="8" t="str"/>
      <x:c r="U122" s="7" t="str"/>
      <x:c r="V122" s="7" t="str"/>
      <x:c r="W122" s="7" t="str"/>
      <x:c r="X122" s="7" t="str"/>
    </x:row>
    <x:row r="123" ht="84" customHeight="1">
      <x:c r="A123" s="3" t="str">
        <x:v>CC-T030-S02</x:v>
      </x:c>
      <x:c r="B123" s="3" t="str">
        <x:v>CC-T030</x:v>
      </x:c>
      <x:c r="C123" s="3" t="n">
        <x:v>2</x:v>
      </x:c>
      <x:c r="D123" s="3" t="str">
        <x:v>Implement benchmark portable hardware profiles.
1. Run a fixed workload across available hardware tiers.
2. Measure model load time, response latency, peak RAM/VRAM, indexing throughput and disk use.
3. Exercise out-of-memory recovery and configuration rollback.
4. Publish supported, experimental and untested profile states.</x:v>
      </x:c>
      <x:c r="E123" s="7" t="str">
        <x:v>Not started</x:v>
      </x:c>
      <x:c r="F123" s="7" t="str"/>
      <x:c r="G123" s="3" t="str">
        <x:v>Implementation covers the task-specific behavior; no claim of verification is made until S03.</x:v>
      </x:c>
      <x:c r="H123" s="3" t="str">
        <x:v>Local development; actual supported hardware for hardware gates</x:v>
      </x:c>
      <x:c r="I123" s="7" t="str"/>
      <x:c r="J123" s="3" t="str">
        <x:v>Engineering</x:v>
      </x:c>
      <x:c r="K123" s="3" t="str">
        <x:v>Initial</x:v>
      </x:c>
      <x:c r="L123" s="3" t="str">
        <x:v>["CC-T030-S01"]</x:v>
      </x:c>
      <x:c r="M123" s="3" t="str">
        <x:v>[]</x:v>
      </x:c>
      <x:c r="N123" s="3" t="str">
        <x:v>["CC-E122"]</x:v>
      </x:c>
      <x:c r="O123" s="3" t="str">
        <x:v>Run a fixed workload across available hardware tiers.
Measure model load time, response latency, peak RAM/VRAM, indexing throughput and disk use.
Exercise out-of-memory recovery and configuration rollback.
Publish supported, experimental and untested profile states.</x:v>
      </x:c>
      <x:c r="P123" s="3" t="str">
        <x:v>[]</x:v>
      </x:c>
      <x:c r="Q123" s="3" t="str">
        <x:v>CC_Workshop_Implementation_Plan.md#cc-t030--benchmark-portable-hardware-profiles</x:v>
      </x:c>
      <x:c r="R123" s="8" t="n">
        <x:v>46275.51530535879</x:v>
      </x:c>
      <x:c r="S123" s="8" t="str"/>
      <x:c r="T123" s="8" t="str"/>
      <x:c r="U123" s="7" t="str"/>
      <x:c r="V123" s="7" t="str"/>
      <x:c r="W123" s="7" t="str"/>
      <x:c r="X123" s="7" t="str"/>
    </x:row>
    <x:row r="124" ht="120" customHeight="1">
      <x:c r="A124" s="3" t="str">
        <x:v>CC-T030-S03</x:v>
      </x:c>
      <x:c r="B124" s="3" t="str">
        <x:v>CC-T030</x:v>
      </x:c>
      <x:c r="C124" s="3" t="n">
        <x:v>3</x:v>
      </x:c>
      <x:c r="D124" s="3" t="str">
        <x:v>Verify benchmark portable hardware profiles against every acceptance criterion.
1. Every supported profile has actual execution evidence.
2. No result is extrapolated into an untested GPU configuration.
3. A larger model is selected only when it improves measured quality within available resources.
4. Results include model, projector, runtime and configuration hashes.
5. The application remains useful for source viewing and direct approved facts when generation is unavailable.</x:v>
      </x:c>
      <x:c r="E124" s="7" t="str">
        <x:v>Not started</x:v>
      </x:c>
      <x:c r="F124" s="7" t="str"/>
      <x:c r="G124" s="3" t="str">
        <x:v>python -m pytest -q tests/acceptance/test_hardware_profiles.py
All applicable acceptance criteria pass; separately record manual-source, hardware or clean-installation observations when required.</x:v>
      </x:c>
      <x:c r="H124" s="3" t="str">
        <x:v>Local development; actual supported hardware for hardware gates</x:v>
      </x:c>
      <x:c r="I124" s="7" t="str"/>
      <x:c r="J124" s="3" t="str">
        <x:v>Engineering</x:v>
      </x:c>
      <x:c r="K124" s="3" t="str">
        <x:v>Initial</x:v>
      </x:c>
      <x:c r="L124" s="3" t="str">
        <x:v>["CC-T030-S02"]</x:v>
      </x:c>
      <x:c r="M124" s="3" t="str">
        <x:v>[]</x:v>
      </x:c>
      <x:c r="N124" s="3" t="str">
        <x:v>["CC-E123"]</x:v>
      </x:c>
      <x:c r="O124" s="3" t="str">
        <x:v>Every supported profile has actual execution evidence.
No result is extrapolated into an untested GPU configuration.
A larger model is selected only when it improves measured quality within available resources.
Results include model, projector, runtime and configuration hashes.
The application remains useful for source viewing and direct approved facts when generation is unavailable.</x:v>
      </x:c>
      <x:c r="P124" s="3" t="str">
        <x:v>["evidence/CC-T030/verification/"]</x:v>
      </x:c>
      <x:c r="Q124" s="3" t="str">
        <x:v>CC_Workshop_Implementation_Plan.md#cc-t030--benchmark-portable-hardware-profiles</x:v>
      </x:c>
      <x:c r="R124" s="8" t="n">
        <x:v>46275.51530535879</x:v>
      </x:c>
      <x:c r="S124" s="8" t="str"/>
      <x:c r="T124" s="8" t="str"/>
      <x:c r="U124" s="7" t="str"/>
      <x:c r="V124" s="7" t="str"/>
      <x:c r="W124" s="7" t="str"/>
      <x:c r="X124" s="7" t="str"/>
    </x:row>
    <x:row r="125" ht="54" customHeight="1">
      <x:c r="A125" s="3" t="str">
        <x:v>CC-T030-S04</x:v>
      </x:c>
      <x:c r="B125" s="3" t="str">
        <x:v>CC-T030</x:v>
      </x:c>
      <x:c r="C125" s="3" t="n">
        <x:v>4</x:v>
      </x:c>
      <x:c r="D125" s="3" t="str">
        <x:v>Review benchmark portable hardware profiles, reconcile its evidence and handover, and record the commit if one is created.</x:v>
      </x:c>
      <x:c r="E125" s="7" t="str">
        <x:v>Not started</x:v>
      </x:c>
      <x:c r="F125" s="7" t="str"/>
      <x:c r="G125" s="3" t="str">
        <x:v>Independent review and all required evidence resolve task acceptance; tracker and handover agree. Record only an existing commit.</x:v>
      </x:c>
      <x:c r="H125" s="3" t="str">
        <x:v>Local development; actual supported hardware for hardware gates</x:v>
      </x:c>
      <x:c r="I125" s="7" t="str"/>
      <x:c r="J125" s="3" t="str">
        <x:v>Engineering</x:v>
      </x:c>
      <x:c r="K125" s="3" t="str">
        <x:v>Initial</x:v>
      </x:c>
      <x:c r="L125" s="3" t="str">
        <x:v>["CC-T030-S03"]</x:v>
      </x:c>
      <x:c r="M125" s="3" t="str">
        <x:v>[]</x:v>
      </x:c>
      <x:c r="N125" s="3" t="str">
        <x:v>["CC-E124"]</x:v>
      </x:c>
      <x:c r="O125" s="3" t="str">
        <x:v>Review findings resolved or explicitly recorded; evidence links valid; tracker consistent; commit field is blank or identifies an actual commit.</x:v>
      </x:c>
      <x:c r="P125" s="3" t="str">
        <x:v>["evidence/CC-T030/review/"]</x:v>
      </x:c>
      <x:c r="Q125" s="3" t="str">
        <x:v>CC_Workshop_Implementation_Plan.md#cc-t030--benchmark-portable-hardware-profiles</x:v>
      </x:c>
      <x:c r="R125" s="8" t="n">
        <x:v>46275.51530535879</x:v>
      </x:c>
      <x:c r="S125" s="8" t="str"/>
      <x:c r="T125" s="8" t="str"/>
      <x:c r="U125" s="7" t="str"/>
      <x:c r="V125" s="7" t="str"/>
      <x:c r="W125" s="7" t="str"/>
      <x:c r="X125" s="7" t="str"/>
    </x:row>
    <x:row r="126" ht="120" customHeight="1">
      <x:c r="A126" s="3" t="str">
        <x:v>CC-T031-S01</x:v>
      </x:c>
      <x:c r="B126" s="3" t="str">
        <x:v>CC-T031</x:v>
      </x:c>
      <x:c r="C126" s="3" t="n">
        <x:v>1</x:v>
      </x:c>
      <x:c r="D126" s="3" t="str">
        <x:v>Establish regression and acceptance fixtures for run the release evaluation and adversarial suite.
1. All critical acceptance scenarios in Section 6 pass.
2. No observed cross-Garage disclosure occurs.
3. No definitive unsupported critical specification occurs in the release test set.
4. No unresolved critical failure is hidden by aggregate averages.
5. Passing results are described as test evidence, not a guarantee of mechanical correctness.</x:v>
      </x:c>
      <x:c r="E126" s="7" t="str">
        <x:v>Not started</x:v>
      </x:c>
      <x:c r="F126" s="7" t="str"/>
      <x:c r="G126" s="3" t="str">
        <x:v>python -m pytest -q tests/acceptance/test_release_evaluation.py
Confirm the relevant missing or incorrect behavior for the task's acceptance criteria; record the actual failing behavior and command result.</x:v>
      </x:c>
      <x:c r="H126" s="3" t="str">
        <x:v>Local development</x:v>
      </x:c>
      <x:c r="I126" s="7" t="str"/>
      <x:c r="J126" s="3" t="str">
        <x:v>Engineering</x:v>
      </x:c>
      <x:c r="K126" s="3" t="str">
        <x:v>Initial</x:v>
      </x:c>
      <x:c r="L126" s="3" t="str">
        <x:v>[]</x:v>
      </x:c>
      <x:c r="M126" s="3" t="str">
        <x:v>[]</x:v>
      </x:c>
      <x:c r="N126" s="3" t="str">
        <x:v>["CC-E125"]</x:v>
      </x:c>
      <x:c r="O126" s="3" t="str">
        <x:v>Fixtures cover these expected behaviors and demonstrate the relevant baseline gap:
All critical acceptance scenarios in Section 6 pass.
No observed cross-Garage disclosure occurs.
No definitive unsupported critical specification occurs in the release test set.
No unresolved critical failure is hidden by aggregate averages.
Passing results are described as test evidence, not a guarantee of mechanical correctness.</x:v>
      </x:c>
      <x:c r="P126" s="3" t="str">
        <x:v>["tests/acceptance/test_release_evaluation.py"]</x:v>
      </x:c>
      <x:c r="Q126" s="3" t="str">
        <x:v>CC_Workshop_Implementation_Plan.md#cc-t031--run-the-release-evaluation-and-adversarial-suite</x:v>
      </x:c>
      <x:c r="R126" s="8" t="n">
        <x:v>46275.51530535879</x:v>
      </x:c>
      <x:c r="S126" s="8" t="str"/>
      <x:c r="T126" s="8" t="str"/>
      <x:c r="U126" s="7" t="str"/>
      <x:c r="V126" s="7" t="str"/>
      <x:c r="W126" s="7" t="str"/>
      <x:c r="X126" s="7" t="str"/>
    </x:row>
    <x:row r="127" ht="96" customHeight="1">
      <x:c r="A127" s="3" t="str">
        <x:v>CC-T031-S02</x:v>
      </x:c>
      <x:c r="B127" s="3" t="str">
        <x:v>CC-T031</x:v>
      </x:c>
      <x:c r="C127" s="3" t="n">
        <x:v>2</x:v>
      </x:c>
      <x:c r="D127" s="3" t="str">
        <x:v>Implement run the release evaluation and adversarial suite.
1. Freeze development and held-out evaluation sets separately.
2. Run isolation, applicability, numeric, citation, procedure and recovery tests.
3. Exercise prompt injection in imported documents and metadata.
4. Review representative generated outputs.
5. Record unresolved failures.</x:v>
      </x:c>
      <x:c r="E127" s="7" t="str">
        <x:v>Not started</x:v>
      </x:c>
      <x:c r="F127" s="7" t="str"/>
      <x:c r="G127" s="3" t="str">
        <x:v>Implementation covers the task-specific behavior; no claim of verification is made until S03.</x:v>
      </x:c>
      <x:c r="H127" s="3" t="str">
        <x:v>Local development</x:v>
      </x:c>
      <x:c r="I127" s="7" t="str"/>
      <x:c r="J127" s="3" t="str">
        <x:v>Engineering</x:v>
      </x:c>
      <x:c r="K127" s="3" t="str">
        <x:v>Initial</x:v>
      </x:c>
      <x:c r="L127" s="3" t="str">
        <x:v>["CC-T031-S01"]</x:v>
      </x:c>
      <x:c r="M127" s="3" t="str">
        <x:v>[]</x:v>
      </x:c>
      <x:c r="N127" s="3" t="str">
        <x:v>["CC-E126"]</x:v>
      </x:c>
      <x:c r="O127" s="3" t="str">
        <x:v>Freeze development and held-out evaluation sets separately.
Run isolation, applicability, numeric, citation, procedure and recovery tests.
Exercise prompt injection in imported documents and metadata.
Review representative generated outputs.
Record unresolved failures.</x:v>
      </x:c>
      <x:c r="P127" s="3" t="str">
        <x:v>[]</x:v>
      </x:c>
      <x:c r="Q127" s="3" t="str">
        <x:v>CC_Workshop_Implementation_Plan.md#cc-t031--run-the-release-evaluation-and-adversarial-suite</x:v>
      </x:c>
      <x:c r="R127" s="8" t="n">
        <x:v>46275.51530535879</x:v>
      </x:c>
      <x:c r="S127" s="8" t="str"/>
      <x:c r="T127" s="8" t="str"/>
      <x:c r="U127" s="7" t="str"/>
      <x:c r="V127" s="7" t="str"/>
      <x:c r="W127" s="7" t="str"/>
      <x:c r="X127" s="7" t="str"/>
    </x:row>
    <x:row r="128" ht="120" customHeight="1">
      <x:c r="A128" s="3" t="str">
        <x:v>CC-T031-S03</x:v>
      </x:c>
      <x:c r="B128" s="3" t="str">
        <x:v>CC-T031</x:v>
      </x:c>
      <x:c r="C128" s="3" t="n">
        <x:v>3</x:v>
      </x:c>
      <x:c r="D128" s="3" t="str">
        <x:v>Verify run the release evaluation and adversarial suite against every acceptance criterion.
1. All critical acceptance scenarios in Section 6 pass.
2. No observed cross-Garage disclosure occurs.
3. No definitive unsupported critical specification occurs in the release test set.
4. No unresolved critical failure is hidden by aggregate averages.
5. Passing results are described as test evidence, not a guarantee of mechanical correctness.</x:v>
      </x:c>
      <x:c r="E128" s="7" t="str">
        <x:v>Not started</x:v>
      </x:c>
      <x:c r="F128" s="7" t="str"/>
      <x:c r="G128" s="3" t="str">
        <x:v>python -m pytest -q tests/acceptance/test_release_evaluation.py
All applicable acceptance criteria pass; separately record manual-source, hardware or clean-installation observations when required.</x:v>
      </x:c>
      <x:c r="H128" s="3" t="str">
        <x:v>Local development</x:v>
      </x:c>
      <x:c r="I128" s="7" t="str"/>
      <x:c r="J128" s="3" t="str">
        <x:v>Engineering</x:v>
      </x:c>
      <x:c r="K128" s="3" t="str">
        <x:v>Initial</x:v>
      </x:c>
      <x:c r="L128" s="3" t="str">
        <x:v>["CC-T031-S02"]</x:v>
      </x:c>
      <x:c r="M128" s="3" t="str">
        <x:v>[]</x:v>
      </x:c>
      <x:c r="N128" s="3" t="str">
        <x:v>["CC-E127"]</x:v>
      </x:c>
      <x:c r="O128" s="3" t="str">
        <x:v>All critical acceptance scenarios in Section 6 pass.
No observed cross-Garage disclosure occurs.
No definitive unsupported critical specification occurs in the release test set.
No unresolved critical failure is hidden by aggregate averages.
Passing results are described as test evidence, not a guarantee of mechanical correctness.</x:v>
      </x:c>
      <x:c r="P128" s="3" t="str">
        <x:v>["evidence/CC-T031/verification/"]</x:v>
      </x:c>
      <x:c r="Q128" s="3" t="str">
        <x:v>CC_Workshop_Implementation_Plan.md#cc-t031--run-the-release-evaluation-and-adversarial-suite</x:v>
      </x:c>
      <x:c r="R128" s="8" t="n">
        <x:v>46275.51530535879</x:v>
      </x:c>
      <x:c r="S128" s="8" t="str"/>
      <x:c r="T128" s="8" t="str"/>
      <x:c r="U128" s="7" t="str"/>
      <x:c r="V128" s="7" t="str"/>
      <x:c r="W128" s="7" t="str"/>
      <x:c r="X128" s="7" t="str"/>
    </x:row>
    <x:row r="129" ht="54" customHeight="1">
      <x:c r="A129" s="3" t="str">
        <x:v>CC-T031-S04</x:v>
      </x:c>
      <x:c r="B129" s="3" t="str">
        <x:v>CC-T031</x:v>
      </x:c>
      <x:c r="C129" s="3" t="n">
        <x:v>4</x:v>
      </x:c>
      <x:c r="D129" s="3" t="str">
        <x:v>Review run the release evaluation and adversarial suite, reconcile its evidence and handover, and record the commit if one is created.</x:v>
      </x:c>
      <x:c r="E129" s="7" t="str">
        <x:v>Not started</x:v>
      </x:c>
      <x:c r="F129" s="7" t="str"/>
      <x:c r="G129" s="3" t="str">
        <x:v>Independent review and all required evidence resolve task acceptance; tracker and handover agree. Record only an existing commit.</x:v>
      </x:c>
      <x:c r="H129" s="3" t="str">
        <x:v>Local development</x:v>
      </x:c>
      <x:c r="I129" s="7" t="str"/>
      <x:c r="J129" s="3" t="str">
        <x:v>Engineering</x:v>
      </x:c>
      <x:c r="K129" s="3" t="str">
        <x:v>Initial</x:v>
      </x:c>
      <x:c r="L129" s="3" t="str">
        <x:v>["CC-T031-S03"]</x:v>
      </x:c>
      <x:c r="M129" s="3" t="str">
        <x:v>[]</x:v>
      </x:c>
      <x:c r="N129" s="3" t="str">
        <x:v>["CC-E128"]</x:v>
      </x:c>
      <x:c r="O129" s="3" t="str">
        <x:v>Review findings resolved or explicitly recorded; evidence links valid; tracker consistent; commit field is blank or identifies an actual commit.</x:v>
      </x:c>
      <x:c r="P129" s="3" t="str">
        <x:v>["evidence/CC-T031/review/"]</x:v>
      </x:c>
      <x:c r="Q129" s="3" t="str">
        <x:v>CC_Workshop_Implementation_Plan.md#cc-t031--run-the-release-evaluation-and-adversarial-suite</x:v>
      </x:c>
      <x:c r="R129" s="8" t="n">
        <x:v>46275.51530535879</x:v>
      </x:c>
      <x:c r="S129" s="8" t="str"/>
      <x:c r="T129" s="8" t="str"/>
      <x:c r="U129" s="7" t="str"/>
      <x:c r="V129" s="7" t="str"/>
      <x:c r="W129" s="7" t="str"/>
      <x:c r="X129" s="7" t="str"/>
    </x:row>
    <x:row r="130" ht="120" customHeight="1">
      <x:c r="A130" s="3" t="str">
        <x:v>CC-T032-S01</x:v>
      </x:c>
      <x:c r="B130" s="3" t="str">
        <x:v>CC-T032</x:v>
      </x:c>
      <x:c r="C130" s="3" t="n">
        <x:v>1</x:v>
      </x:c>
      <x:c r="D130" s="3" t="str">
        <x:v>Establish regression and acceptance fixtures for complete release evidence and handover.
1. Every completed task has matching evidence.
2. Deferred roadmap work is outside the completion denominator.
3. A new agent can identify the exact current state and next work from the tracker.
4. Release artifacts identify the source commit and dependency/runtime revisions.
5. No publication or deployment is claimed unless it actually occurred.</x:v>
      </x:c>
      <x:c r="E130" s="7" t="str">
        <x:v>Not started</x:v>
      </x:c>
      <x:c r="F130" s="7" t="str"/>
      <x:c r="G130" s="3" t="str">
        <x:v>python -m pytest -q tests/acceptance/test_release_handover.py
Confirm the relevant missing or incorrect behavior for the task's acceptance criteria; record the actual failing behavior and command result.</x:v>
      </x:c>
      <x:c r="H130" s="3" t="str">
        <x:v>Local development</x:v>
      </x:c>
      <x:c r="I130" s="7" t="str"/>
      <x:c r="J130" s="3" t="str">
        <x:v>Engineering</x:v>
      </x:c>
      <x:c r="K130" s="3" t="str">
        <x:v>Initial</x:v>
      </x:c>
      <x:c r="L130" s="3" t="str">
        <x:v>[]</x:v>
      </x:c>
      <x:c r="M130" s="3" t="str">
        <x:v>[]</x:v>
      </x:c>
      <x:c r="N130" s="3" t="str">
        <x:v>["CC-E129"]</x:v>
      </x:c>
      <x:c r="O130" s="3" t="str">
        <x:v>Fixtures cover these expected behaviors and demonstrate the relevant baseline gap:
Every completed task has matching evidence.
Deferred roadmap work is outside the completion denominator.
A new agent can identify the exact current state and next work from the tracker.
Release artifacts identify the source commit and dependency/runtime revisions.
No publication or deployment is claimed unless it actually occurred.</x:v>
      </x:c>
      <x:c r="P130" s="3" t="str">
        <x:v>["tests/acceptance/test_release_handover.py"]</x:v>
      </x:c>
      <x:c r="Q130" s="3" t="str">
        <x:v>CC_Workshop_Implementation_Plan.md#cc-t032--complete-release-evidence-and-handover</x:v>
      </x:c>
      <x:c r="R130" s="8" t="n">
        <x:v>46275.51530535879</x:v>
      </x:c>
      <x:c r="S130" s="8" t="str"/>
      <x:c r="T130" s="8" t="str"/>
      <x:c r="U130" s="7" t="str"/>
      <x:c r="V130" s="7" t="str"/>
      <x:c r="W130" s="7" t="str"/>
      <x:c r="X130" s="7" t="str"/>
    </x:row>
    <x:row r="131" ht="96" customHeight="1">
      <x:c r="A131" s="3" t="str">
        <x:v>CC-T032-S02</x:v>
      </x:c>
      <x:c r="B131" s="3" t="str">
        <x:v>CC-T032</x:v>
      </x:c>
      <x:c r="C131" s="3" t="n">
        <x:v>2</x:v>
      </x:c>
      <x:c r="D131" s="3" t="str">
        <x:v>Implement complete release evidence and handover.
1. Produce versioned application, installer and model manifests.
2. Record supported environments and known limitations.
3. Reconcile all initial-release tasks and evidence.
4. Update the workbook and JSON snapshot.
5. Write installation, recovery, source-review and continuation instructions.</x:v>
      </x:c>
      <x:c r="E131" s="7" t="str">
        <x:v>Not started</x:v>
      </x:c>
      <x:c r="F131" s="7" t="str"/>
      <x:c r="G131" s="3" t="str">
        <x:v>Implementation covers the task-specific behavior; no claim of verification is made until S03.</x:v>
      </x:c>
      <x:c r="H131" s="3" t="str">
        <x:v>Local development</x:v>
      </x:c>
      <x:c r="I131" s="7" t="str"/>
      <x:c r="J131" s="3" t="str">
        <x:v>Engineering</x:v>
      </x:c>
      <x:c r="K131" s="3" t="str">
        <x:v>Initial</x:v>
      </x:c>
      <x:c r="L131" s="3" t="str">
        <x:v>["CC-T032-S01"]</x:v>
      </x:c>
      <x:c r="M131" s="3" t="str">
        <x:v>[]</x:v>
      </x:c>
      <x:c r="N131" s="3" t="str">
        <x:v>["CC-E130"]</x:v>
      </x:c>
      <x:c r="O131" s="3" t="str">
        <x:v>Produce versioned application, installer and model manifests.
Record supported environments and known limitations.
Reconcile all initial-release tasks and evidence.
Update the workbook and JSON snapshot.
Write installation, recovery, source-review and continuation instructions.</x:v>
      </x:c>
      <x:c r="P131" s="3" t="str">
        <x:v>[]</x:v>
      </x:c>
      <x:c r="Q131" s="3" t="str">
        <x:v>CC_Workshop_Implementation_Plan.md#cc-t032--complete-release-evidence-and-handover</x:v>
      </x:c>
      <x:c r="R131" s="8" t="n">
        <x:v>46275.51530535879</x:v>
      </x:c>
      <x:c r="S131" s="8" t="str"/>
      <x:c r="T131" s="8" t="str"/>
      <x:c r="U131" s="7" t="str"/>
      <x:c r="V131" s="7" t="str"/>
      <x:c r="W131" s="7" t="str"/>
      <x:c r="X131" s="7" t="str"/>
    </x:row>
    <x:row r="132" ht="120" customHeight="1">
      <x:c r="A132" s="3" t="str">
        <x:v>CC-T032-S03</x:v>
      </x:c>
      <x:c r="B132" s="3" t="str">
        <x:v>CC-T032</x:v>
      </x:c>
      <x:c r="C132" s="3" t="n">
        <x:v>3</x:v>
      </x:c>
      <x:c r="D132" s="3" t="str">
        <x:v>Verify complete release evidence and handover against every acceptance criterion.
1. Every completed task has matching evidence.
2. Deferred roadmap work is outside the completion denominator.
3. A new agent can identify the exact current state and next work from the tracker.
4. Release artifacts identify the source commit and dependency/runtime revisions.
5. No publication or deployment is claimed unless it actually occurred.</x:v>
      </x:c>
      <x:c r="E132" s="7" t="str">
        <x:v>Not started</x:v>
      </x:c>
      <x:c r="F132" s="7" t="str"/>
      <x:c r="G132" s="3" t="str">
        <x:v>python -m pytest -q tests/acceptance/test_release_handover.py
All applicable acceptance criteria pass; separately record manual-source, hardware or clean-installation observations when required.</x:v>
      </x:c>
      <x:c r="H132" s="3" t="str">
        <x:v>Local development</x:v>
      </x:c>
      <x:c r="I132" s="7" t="str"/>
      <x:c r="J132" s="3" t="str">
        <x:v>Engineering</x:v>
      </x:c>
      <x:c r="K132" s="3" t="str">
        <x:v>Initial</x:v>
      </x:c>
      <x:c r="L132" s="3" t="str">
        <x:v>["CC-T032-S02"]</x:v>
      </x:c>
      <x:c r="M132" s="3" t="str">
        <x:v>[]</x:v>
      </x:c>
      <x:c r="N132" s="3" t="str">
        <x:v>["CC-E131"]</x:v>
      </x:c>
      <x:c r="O132" s="3" t="str">
        <x:v>Every completed task has matching evidence.
Deferred roadmap work is outside the completion denominator.
A new agent can identify the exact current state and next work from the tracker.
Release artifacts identify the source commit and dependency/runtime revisions.
No publication or deployment is claimed unless it actually occurred.</x:v>
      </x:c>
      <x:c r="P132" s="3" t="str">
        <x:v>["evidence/CC-T032/verification/"]</x:v>
      </x:c>
      <x:c r="Q132" s="3" t="str">
        <x:v>CC_Workshop_Implementation_Plan.md#cc-t032--complete-release-evidence-and-handover</x:v>
      </x:c>
      <x:c r="R132" s="8" t="n">
        <x:v>46275.51530535879</x:v>
      </x:c>
      <x:c r="S132" s="8" t="str"/>
      <x:c r="T132" s="8" t="str"/>
      <x:c r="U132" s="7" t="str"/>
      <x:c r="V132" s="7" t="str"/>
      <x:c r="W132" s="7" t="str"/>
      <x:c r="X132" s="7" t="str"/>
    </x:row>
    <x:row r="133" ht="54" customHeight="1">
      <x:c r="A133" s="3" t="str">
        <x:v>CC-T032-S04</x:v>
      </x:c>
      <x:c r="B133" s="3" t="str">
        <x:v>CC-T032</x:v>
      </x:c>
      <x:c r="C133" s="3" t="n">
        <x:v>4</x:v>
      </x:c>
      <x:c r="D133" s="3" t="str">
        <x:v>Review complete release evidence and handover, reconcile its evidence and handover, and record the commit if one is created.</x:v>
      </x:c>
      <x:c r="E133" s="7" t="str">
        <x:v>Not started</x:v>
      </x:c>
      <x:c r="F133" s="7" t="str"/>
      <x:c r="G133" s="3" t="str">
        <x:v>Independent review and all required evidence resolve task acceptance; tracker and handover agree. Record only an existing commit.</x:v>
      </x:c>
      <x:c r="H133" s="3" t="str">
        <x:v>Local development</x:v>
      </x:c>
      <x:c r="I133" s="7" t="str"/>
      <x:c r="J133" s="3" t="str">
        <x:v>Engineering</x:v>
      </x:c>
      <x:c r="K133" s="3" t="str">
        <x:v>Initial</x:v>
      </x:c>
      <x:c r="L133" s="3" t="str">
        <x:v>["CC-T032-S03"]</x:v>
      </x:c>
      <x:c r="M133" s="3" t="str">
        <x:v>[]</x:v>
      </x:c>
      <x:c r="N133" s="3" t="str">
        <x:v>["CC-E132"]</x:v>
      </x:c>
      <x:c r="O133" s="3" t="str">
        <x:v>Review findings resolved or explicitly recorded; evidence links valid; tracker consistent; commit field is blank or identifies an actual commit.</x:v>
      </x:c>
      <x:c r="P133" s="3" t="str">
        <x:v>["evidence/CC-T032/review/"]</x:v>
      </x:c>
      <x:c r="Q133" s="3" t="str">
        <x:v>CC_Workshop_Implementation_Plan.md#cc-t032--complete-release-evidence-and-handover</x:v>
      </x:c>
      <x:c r="R133" s="8" t="n">
        <x:v>46275.51530535879</x:v>
      </x:c>
      <x:c r="S133" s="8" t="str"/>
      <x:c r="T133" s="8" t="str"/>
      <x:c r="U133" s="7" t="str"/>
      <x:c r="V133" s="7" t="str"/>
      <x:c r="W133" s="7" t="str"/>
      <x:c r="X133" s="7" t="str"/>
    </x:row>
    <x:row r="134" ht="60" customHeight="1">
      <x:c r="A134" s="3" t="str">
        <x:v>CC-T033-S01</x:v>
      </x:c>
      <x:c r="B134" s="3" t="str">
        <x:v>CC-T033</x:v>
      </x:c>
      <x:c r="C134" s="3" t="n">
        <x:v>1</x:v>
      </x:c>
      <x:c r="D134" s="3" t="str">
        <x:v>Establish regression and acceptance fixtures for timestamped video ingestion.
1. Correct timestamp citations, local transcription, preserved source identity and scoped retrieval</x:v>
      </x:c>
      <x:c r="E134" s="7" t="str">
        <x:v>Not started</x:v>
      </x:c>
      <x:c r="F134" s="7" t="str"/>
      <x:c r="G134" s="3" t="str">
        <x:v>Activation is deferred; establish and review the task acceptance suite before implementation.
Confirm the relevant missing or incorrect behavior for the task's acceptance criteria; record the actual failing behavior and command result.</x:v>
      </x:c>
      <x:c r="H134" s="3" t="str">
        <x:v>Local development</x:v>
      </x:c>
      <x:c r="I134" s="7" t="str"/>
      <x:c r="J134" s="3" t="str">
        <x:v>Engineering</x:v>
      </x:c>
      <x:c r="K134" s="3" t="str">
        <x:v>Future</x:v>
      </x:c>
      <x:c r="L134" s="3" t="str">
        <x:v>[]</x:v>
      </x:c>
      <x:c r="M134" s="3" t="str">
        <x:v>["CC-D011"]</x:v>
      </x:c>
      <x:c r="N134" s="3" t="str">
        <x:v>["CC-E133"]</x:v>
      </x:c>
      <x:c r="O134" s="3" t="str">
        <x:v>Fixtures cover these expected behaviors and demonstrate the relevant baseline gap:
Correct timestamp citations, local transcription, preserved source identity and scoped retrieval</x:v>
      </x:c>
      <x:c r="P134" s="3" t="str">
        <x:v>[]</x:v>
      </x:c>
      <x:c r="Q134" s="3" t="str">
        <x:v>CC_Workshop_Implementation_Plan.md#52-future-work-rows</x:v>
      </x:c>
      <x:c r="R134" s="8" t="n">
        <x:v>46275.51530535879</x:v>
      </x:c>
      <x:c r="S134" s="8" t="str"/>
      <x:c r="T134" s="8" t="str"/>
      <x:c r="U134" s="7" t="str"/>
      <x:c r="V134" s="7" t="str"/>
      <x:c r="W134" s="7" t="str"/>
      <x:c r="X134" s="7" t="str"/>
    </x:row>
    <x:row r="135" ht="60" customHeight="1">
      <x:c r="A135" s="3" t="str">
        <x:v>CC-T033-S02</x:v>
      </x:c>
      <x:c r="B135" s="3" t="str">
        <x:v>CC-T033</x:v>
      </x:c>
      <x:c r="C135" s="3" t="n">
        <x:v>2</x:v>
      </x:c>
      <x:c r="D135" s="3" t="str">
        <x:v>Implement timestamped video ingestion.
1. Activate only when: Initial release accepted; local transcript/frame provenance contract reviewed
2. Timestamped video ingestion</x:v>
      </x:c>
      <x:c r="E135" s="7" t="str">
        <x:v>Not started</x:v>
      </x:c>
      <x:c r="F135" s="7" t="str"/>
      <x:c r="G135" s="3" t="str">
        <x:v>Implementation covers the task-specific behavior; no claim of verification is made until S03.</x:v>
      </x:c>
      <x:c r="H135" s="3" t="str">
        <x:v>Local development</x:v>
      </x:c>
      <x:c r="I135" s="7" t="str"/>
      <x:c r="J135" s="3" t="str">
        <x:v>Engineering</x:v>
      </x:c>
      <x:c r="K135" s="3" t="str">
        <x:v>Future</x:v>
      </x:c>
      <x:c r="L135" s="3" t="str">
        <x:v>["CC-T033-S01"]</x:v>
      </x:c>
      <x:c r="M135" s="3" t="str">
        <x:v>["CC-D011"]</x:v>
      </x:c>
      <x:c r="N135" s="3" t="str">
        <x:v>["CC-E134"]</x:v>
      </x:c>
      <x:c r="O135" s="3" t="str">
        <x:v>Activate only when: Initial release accepted; local transcript/frame provenance contract reviewed
Timestamped video ingestion</x:v>
      </x:c>
      <x:c r="P135" s="3" t="str">
        <x:v>[]</x:v>
      </x:c>
      <x:c r="Q135" s="3" t="str">
        <x:v>CC_Workshop_Implementation_Plan.md#52-future-work-rows</x:v>
      </x:c>
      <x:c r="R135" s="8" t="n">
        <x:v>46275.51530535879</x:v>
      </x:c>
      <x:c r="S135" s="8" t="str"/>
      <x:c r="T135" s="8" t="str"/>
      <x:c r="U135" s="7" t="str"/>
      <x:c r="V135" s="7" t="str"/>
      <x:c r="W135" s="7" t="str"/>
      <x:c r="X135" s="7" t="str"/>
    </x:row>
    <x:row r="136" ht="60" customHeight="1">
      <x:c r="A136" s="3" t="str">
        <x:v>CC-T033-S03</x:v>
      </x:c>
      <x:c r="B136" s="3" t="str">
        <x:v>CC-T033</x:v>
      </x:c>
      <x:c r="C136" s="3" t="n">
        <x:v>3</x:v>
      </x:c>
      <x:c r="D136" s="3" t="str">
        <x:v>Verify timestamped video ingestion against every acceptance criterion.
1. Correct timestamp citations, local transcription, preserved source identity and scoped retrieval</x:v>
      </x:c>
      <x:c r="E136" s="7" t="str">
        <x:v>Not started</x:v>
      </x:c>
      <x:c r="F136" s="7" t="str"/>
      <x:c r="G136" s="3" t="str">
        <x:v>Activation is deferred; establish and review the task acceptance suite before implementation.
All applicable acceptance criteria pass; separately record manual-source, hardware or clean-installation observations when required.</x:v>
      </x:c>
      <x:c r="H136" s="3" t="str">
        <x:v>Local development</x:v>
      </x:c>
      <x:c r="I136" s="7" t="str"/>
      <x:c r="J136" s="3" t="str">
        <x:v>Engineering</x:v>
      </x:c>
      <x:c r="K136" s="3" t="str">
        <x:v>Future</x:v>
      </x:c>
      <x:c r="L136" s="3" t="str">
        <x:v>["CC-T033-S02"]</x:v>
      </x:c>
      <x:c r="M136" s="3" t="str">
        <x:v>["CC-D011"]</x:v>
      </x:c>
      <x:c r="N136" s="3" t="str">
        <x:v>["CC-E135"]</x:v>
      </x:c>
      <x:c r="O136" s="3" t="str">
        <x:v>Correct timestamp citations, local transcription, preserved source identity and scoped retrieval</x:v>
      </x:c>
      <x:c r="P136" s="3" t="str">
        <x:v>["evidence/CC-T033/verification/"]</x:v>
      </x:c>
      <x:c r="Q136" s="3" t="str">
        <x:v>CC_Workshop_Implementation_Plan.md#52-future-work-rows</x:v>
      </x:c>
      <x:c r="R136" s="8" t="n">
        <x:v>46275.51530535879</x:v>
      </x:c>
      <x:c r="S136" s="8" t="str"/>
      <x:c r="T136" s="8" t="str"/>
      <x:c r="U136" s="7" t="str"/>
      <x:c r="V136" s="7" t="str"/>
      <x:c r="W136" s="7" t="str"/>
      <x:c r="X136" s="7" t="str"/>
    </x:row>
    <x:row r="137" ht="54" customHeight="1">
      <x:c r="A137" s="3" t="str">
        <x:v>CC-T033-S04</x:v>
      </x:c>
      <x:c r="B137" s="3" t="str">
        <x:v>CC-T033</x:v>
      </x:c>
      <x:c r="C137" s="3" t="n">
        <x:v>4</x:v>
      </x:c>
      <x:c r="D137" s="3" t="str">
        <x:v>Review timestamped video ingestion, reconcile its evidence and handover, and record the commit if one is created.</x:v>
      </x:c>
      <x:c r="E137" s="7" t="str">
        <x:v>Not started</x:v>
      </x:c>
      <x:c r="F137" s="7" t="str"/>
      <x:c r="G137" s="3" t="str">
        <x:v>Independent review and all required evidence resolve task acceptance; tracker and handover agree. Record only an existing commit.</x:v>
      </x:c>
      <x:c r="H137" s="3" t="str">
        <x:v>Local development</x:v>
      </x:c>
      <x:c r="I137" s="7" t="str"/>
      <x:c r="J137" s="3" t="str">
        <x:v>Engineering</x:v>
      </x:c>
      <x:c r="K137" s="3" t="str">
        <x:v>Future</x:v>
      </x:c>
      <x:c r="L137" s="3" t="str">
        <x:v>["CC-T033-S03"]</x:v>
      </x:c>
      <x:c r="M137" s="3" t="str">
        <x:v>["CC-D011"]</x:v>
      </x:c>
      <x:c r="N137" s="3" t="str">
        <x:v>["CC-E136"]</x:v>
      </x:c>
      <x:c r="O137" s="3" t="str">
        <x:v>Review findings resolved or explicitly recorded; evidence links valid; tracker consistent; commit field is blank or identifies an actual commit.</x:v>
      </x:c>
      <x:c r="P137" s="3" t="str">
        <x:v>["evidence/CC-T033/review/"]</x:v>
      </x:c>
      <x:c r="Q137" s="3" t="str">
        <x:v>CC_Workshop_Implementation_Plan.md#52-future-work-rows</x:v>
      </x:c>
      <x:c r="R137" s="8" t="n">
        <x:v>46275.51530535879</x:v>
      </x:c>
      <x:c r="S137" s="8" t="str"/>
      <x:c r="T137" s="8" t="str"/>
      <x:c r="U137" s="7" t="str"/>
      <x:c r="V137" s="7" t="str"/>
      <x:c r="W137" s="7" t="str"/>
      <x:c r="X137" s="7" t="str"/>
    </x:row>
    <x:row r="138" ht="60" customHeight="1">
      <x:c r="A138" s="3" t="str">
        <x:v>CC-T034-S01</x:v>
      </x:c>
      <x:c r="B138" s="3" t="str">
        <x:v>CC-T034</x:v>
      </x:c>
      <x:c r="C138" s="3" t="n">
        <x:v>1</x:v>
      </x:c>
      <x:c r="D138" s="3" t="str">
        <x:v>Establish regression and acceptance fixtures for read-only obd/can adapter.
1. Explicit allowed reads, recorded decoder identity, replay tests and no vehicle-write commands</x:v>
      </x:c>
      <x:c r="E138" s="7" t="str">
        <x:v>Not started</x:v>
      </x:c>
      <x:c r="F138" s="7" t="str"/>
      <x:c r="G138" s="3" t="str">
        <x:v>Activation is deferred; establish and review the task acceptance suite before implementation.
Confirm the relevant missing or incorrect behavior for the task's acceptance criteria; record the actual failing behavior and command result.</x:v>
      </x:c>
      <x:c r="H138" s="3" t="str">
        <x:v>Local development</x:v>
      </x:c>
      <x:c r="I138" s="7" t="str"/>
      <x:c r="J138" s="3" t="str">
        <x:v>Engineering</x:v>
      </x:c>
      <x:c r="K138" s="3" t="str">
        <x:v>Future</x:v>
      </x:c>
      <x:c r="L138" s="3" t="str">
        <x:v>[]</x:v>
      </x:c>
      <x:c r="M138" s="3" t="str">
        <x:v>["CC-D012"]</x:v>
      </x:c>
      <x:c r="N138" s="3" t="str">
        <x:v>["CC-E137"]</x:v>
      </x:c>
      <x:c r="O138" s="3" t="str">
        <x:v>Fixtures cover these expected behaviors and demonstrate the relevant baseline gap:
Explicit allowed reads, recorded decoder identity, replay tests and no vehicle-write commands</x:v>
      </x:c>
      <x:c r="P138" s="3" t="str">
        <x:v>[]</x:v>
      </x:c>
      <x:c r="Q138" s="3" t="str">
        <x:v>CC_Workshop_Implementation_Plan.md#52-future-work-rows</x:v>
      </x:c>
      <x:c r="R138" s="8" t="n">
        <x:v>46275.51530535879</x:v>
      </x:c>
      <x:c r="S138" s="8" t="str"/>
      <x:c r="T138" s="8" t="str"/>
      <x:c r="U138" s="7" t="str"/>
      <x:c r="V138" s="7" t="str"/>
      <x:c r="W138" s="7" t="str"/>
      <x:c r="X138" s="7" t="str"/>
    </x:row>
    <x:row r="139" ht="60" customHeight="1">
      <x:c r="A139" s="3" t="str">
        <x:v>CC-T034-S02</x:v>
      </x:c>
      <x:c r="B139" s="3" t="str">
        <x:v>CC-T034</x:v>
      </x:c>
      <x:c r="C139" s="3" t="n">
        <x:v>2</x:v>
      </x:c>
      <x:c r="D139" s="3" t="str">
        <x:v>Implement read-only obd/can adapter.
1. Activate only when: Supported hardware/protocol selected; adapter reviewed
2. Read-only OBD/CAN adapter</x:v>
      </x:c>
      <x:c r="E139" s="7" t="str">
        <x:v>Not started</x:v>
      </x:c>
      <x:c r="F139" s="7" t="str"/>
      <x:c r="G139" s="3" t="str">
        <x:v>Implementation covers the task-specific behavior; no claim of verification is made until S03.</x:v>
      </x:c>
      <x:c r="H139" s="3" t="str">
        <x:v>Local development</x:v>
      </x:c>
      <x:c r="I139" s="7" t="str"/>
      <x:c r="J139" s="3" t="str">
        <x:v>Engineering</x:v>
      </x:c>
      <x:c r="K139" s="3" t="str">
        <x:v>Future</x:v>
      </x:c>
      <x:c r="L139" s="3" t="str">
        <x:v>["CC-T034-S01"]</x:v>
      </x:c>
      <x:c r="M139" s="3" t="str">
        <x:v>["CC-D012"]</x:v>
      </x:c>
      <x:c r="N139" s="3" t="str">
        <x:v>["CC-E138"]</x:v>
      </x:c>
      <x:c r="O139" s="3" t="str">
        <x:v>Activate only when: Supported hardware/protocol selected; adapter reviewed
Read-only OBD/CAN adapter</x:v>
      </x:c>
      <x:c r="P139" s="3" t="str">
        <x:v>[]</x:v>
      </x:c>
      <x:c r="Q139" s="3" t="str">
        <x:v>CC_Workshop_Implementation_Plan.md#52-future-work-rows</x:v>
      </x:c>
      <x:c r="R139" s="8" t="n">
        <x:v>46275.51530535879</x:v>
      </x:c>
      <x:c r="S139" s="8" t="str"/>
      <x:c r="T139" s="8" t="str"/>
      <x:c r="U139" s="7" t="str"/>
      <x:c r="V139" s="7" t="str"/>
      <x:c r="W139" s="7" t="str"/>
      <x:c r="X139" s="7" t="str"/>
    </x:row>
    <x:row r="140" ht="60" customHeight="1">
      <x:c r="A140" s="3" t="str">
        <x:v>CC-T034-S03</x:v>
      </x:c>
      <x:c r="B140" s="3" t="str">
        <x:v>CC-T034</x:v>
      </x:c>
      <x:c r="C140" s="3" t="n">
        <x:v>3</x:v>
      </x:c>
      <x:c r="D140" s="3" t="str">
        <x:v>Verify read-only obd/can adapter against every acceptance criterion.
1. Explicit allowed reads, recorded decoder identity, replay tests and no vehicle-write commands</x:v>
      </x:c>
      <x:c r="E140" s="7" t="str">
        <x:v>Not started</x:v>
      </x:c>
      <x:c r="F140" s="7" t="str"/>
      <x:c r="G140" s="3" t="str">
        <x:v>Activation is deferred; establish and review the task acceptance suite before implementation.
All applicable acceptance criteria pass; separately record manual-source, hardware or clean-installation observations when required.</x:v>
      </x:c>
      <x:c r="H140" s="3" t="str">
        <x:v>Local development</x:v>
      </x:c>
      <x:c r="I140" s="7" t="str"/>
      <x:c r="J140" s="3" t="str">
        <x:v>Engineering</x:v>
      </x:c>
      <x:c r="K140" s="3" t="str">
        <x:v>Future</x:v>
      </x:c>
      <x:c r="L140" s="3" t="str">
        <x:v>["CC-T034-S02"]</x:v>
      </x:c>
      <x:c r="M140" s="3" t="str">
        <x:v>["CC-D012"]</x:v>
      </x:c>
      <x:c r="N140" s="3" t="str">
        <x:v>["CC-E139"]</x:v>
      </x:c>
      <x:c r="O140" s="3" t="str">
        <x:v>Explicit allowed reads, recorded decoder identity, replay tests and no vehicle-write commands</x:v>
      </x:c>
      <x:c r="P140" s="3" t="str">
        <x:v>["evidence/CC-T034/verification/"]</x:v>
      </x:c>
      <x:c r="Q140" s="3" t="str">
        <x:v>CC_Workshop_Implementation_Plan.md#52-future-work-rows</x:v>
      </x:c>
      <x:c r="R140" s="8" t="n">
        <x:v>46275.51530535879</x:v>
      </x:c>
      <x:c r="S140" s="8" t="str"/>
      <x:c r="T140" s="8" t="str"/>
      <x:c r="U140" s="7" t="str"/>
      <x:c r="V140" s="7" t="str"/>
      <x:c r="W140" s="7" t="str"/>
      <x:c r="X140" s="7" t="str"/>
    </x:row>
    <x:row r="141" ht="54" customHeight="1">
      <x:c r="A141" s="3" t="str">
        <x:v>CC-T034-S04</x:v>
      </x:c>
      <x:c r="B141" s="3" t="str">
        <x:v>CC-T034</x:v>
      </x:c>
      <x:c r="C141" s="3" t="n">
        <x:v>4</x:v>
      </x:c>
      <x:c r="D141" s="3" t="str">
        <x:v>Review read-only obd/can adapter, reconcile its evidence and handover, and record the commit if one is created.</x:v>
      </x:c>
      <x:c r="E141" s="7" t="str">
        <x:v>Not started</x:v>
      </x:c>
      <x:c r="F141" s="7" t="str"/>
      <x:c r="G141" s="3" t="str">
        <x:v>Independent review and all required evidence resolve task acceptance; tracker and handover agree. Record only an existing commit.</x:v>
      </x:c>
      <x:c r="H141" s="3" t="str">
        <x:v>Local development</x:v>
      </x:c>
      <x:c r="I141" s="7" t="str"/>
      <x:c r="J141" s="3" t="str">
        <x:v>Engineering</x:v>
      </x:c>
      <x:c r="K141" s="3" t="str">
        <x:v>Future</x:v>
      </x:c>
      <x:c r="L141" s="3" t="str">
        <x:v>["CC-T034-S03"]</x:v>
      </x:c>
      <x:c r="M141" s="3" t="str">
        <x:v>["CC-D012"]</x:v>
      </x:c>
      <x:c r="N141" s="3" t="str">
        <x:v>["CC-E140"]</x:v>
      </x:c>
      <x:c r="O141" s="3" t="str">
        <x:v>Review findings resolved or explicitly recorded; evidence links valid; tracker consistent; commit field is blank or identifies an actual commit.</x:v>
      </x:c>
      <x:c r="P141" s="3" t="str">
        <x:v>["evidence/CC-T034/review/"]</x:v>
      </x:c>
      <x:c r="Q141" s="3" t="str">
        <x:v>CC_Workshop_Implementation_Plan.md#52-future-work-rows</x:v>
      </x:c>
      <x:c r="R141" s="8" t="n">
        <x:v>46275.51530535879</x:v>
      </x:c>
      <x:c r="S141" s="8" t="str"/>
      <x:c r="T141" s="8" t="str"/>
      <x:c r="U141" s="7" t="str"/>
      <x:c r="V141" s="7" t="str"/>
      <x:c r="W141" s="7" t="str"/>
      <x:c r="X141" s="7" t="str"/>
    </x:row>
    <x:row r="142" ht="60" customHeight="1">
      <x:c r="A142" s="3" t="str">
        <x:v>CC-T035-S01</x:v>
      </x:c>
      <x:c r="B142" s="3" t="str">
        <x:v>CC-T035</x:v>
      </x:c>
      <x:c r="C142" s="3" t="n">
        <x:v>1</x:v>
      </x:c>
      <x:c r="D142" s="3" t="str">
        <x:v>Establish regression and acceptance fixtures for experimental generative redrawing.
1. Draft labels, original references, review state and exclusion from authoritative retrieval</x:v>
      </x:c>
      <x:c r="E142" s="7" t="str">
        <x:v>Not started</x:v>
      </x:c>
      <x:c r="F142" s="7" t="str"/>
      <x:c r="G142" s="3" t="str">
        <x:v>Activation is deferred; establish and review the task acceptance suite before implementation.
Confirm the relevant missing or incorrect behavior for the task's acceptance criteria; record the actual failing behavior and command result.</x:v>
      </x:c>
      <x:c r="H142" s="3" t="str">
        <x:v>Local development</x:v>
      </x:c>
      <x:c r="I142" s="7" t="str"/>
      <x:c r="J142" s="3" t="str">
        <x:v>Engineering</x:v>
      </x:c>
      <x:c r="K142" s="3" t="str">
        <x:v>Future</x:v>
      </x:c>
      <x:c r="L142" s="3" t="str">
        <x:v>[]</x:v>
      </x:c>
      <x:c r="M142" s="3" t="str">
        <x:v>["CC-D013"]</x:v>
      </x:c>
      <x:c r="N142" s="3" t="str">
        <x:v>["CC-E141"]</x:v>
      </x:c>
      <x:c r="O142" s="3" t="str">
        <x:v>Fixtures cover these expected behaviors and demonstrate the relevant baseline gap:
Draft labels, original references, review state and exclusion from authoritative retrieval</x:v>
      </x:c>
      <x:c r="P142" s="3" t="str">
        <x:v>[]</x:v>
      </x:c>
      <x:c r="Q142" s="3" t="str">
        <x:v>CC_Workshop_Implementation_Plan.md#52-future-work-rows</x:v>
      </x:c>
      <x:c r="R142" s="8" t="n">
        <x:v>46275.51530535879</x:v>
      </x:c>
      <x:c r="S142" s="8" t="str"/>
      <x:c r="T142" s="8" t="str"/>
      <x:c r="U142" s="7" t="str"/>
      <x:c r="V142" s="7" t="str"/>
      <x:c r="W142" s="7" t="str"/>
      <x:c r="X142" s="7" t="str"/>
    </x:row>
    <x:row r="143" ht="60" customHeight="1">
      <x:c r="A143" s="3" t="str">
        <x:v>CC-T035-S02</x:v>
      </x:c>
      <x:c r="B143" s="3" t="str">
        <x:v>CC-T035</x:v>
      </x:c>
      <x:c r="C143" s="3" t="n">
        <x:v>2</x:v>
      </x:c>
      <x:c r="D143" s="3" t="str">
        <x:v>Implement experimental generative redrawing.
1. Activate only when: Deterministic guide system accepted; separate provider policy established
2. Experimental generative redrawing</x:v>
      </x:c>
      <x:c r="E143" s="7" t="str">
        <x:v>Not started</x:v>
      </x:c>
      <x:c r="F143" s="7" t="str"/>
      <x:c r="G143" s="3" t="str">
        <x:v>Implementation covers the task-specific behavior; no claim of verification is made until S03.</x:v>
      </x:c>
      <x:c r="H143" s="3" t="str">
        <x:v>Local development</x:v>
      </x:c>
      <x:c r="I143" s="7" t="str"/>
      <x:c r="J143" s="3" t="str">
        <x:v>Engineering</x:v>
      </x:c>
      <x:c r="K143" s="3" t="str">
        <x:v>Future</x:v>
      </x:c>
      <x:c r="L143" s="3" t="str">
        <x:v>["CC-T035-S01"]</x:v>
      </x:c>
      <x:c r="M143" s="3" t="str">
        <x:v>["CC-D013"]</x:v>
      </x:c>
      <x:c r="N143" s="3" t="str">
        <x:v>["CC-E142"]</x:v>
      </x:c>
      <x:c r="O143" s="3" t="str">
        <x:v>Activate only when: Deterministic guide system accepted; separate provider policy established
Experimental generative redrawing</x:v>
      </x:c>
      <x:c r="P143" s="3" t="str">
        <x:v>[]</x:v>
      </x:c>
      <x:c r="Q143" s="3" t="str">
        <x:v>CC_Workshop_Implementation_Plan.md#52-future-work-rows</x:v>
      </x:c>
      <x:c r="R143" s="8" t="n">
        <x:v>46275.51530535879</x:v>
      </x:c>
      <x:c r="S143" s="8" t="str"/>
      <x:c r="T143" s="8" t="str"/>
      <x:c r="U143" s="7" t="str"/>
      <x:c r="V143" s="7" t="str"/>
      <x:c r="W143" s="7" t="str"/>
      <x:c r="X143" s="7" t="str"/>
    </x:row>
    <x:row r="144" ht="60" customHeight="1">
      <x:c r="A144" s="3" t="str">
        <x:v>CC-T035-S03</x:v>
      </x:c>
      <x:c r="B144" s="3" t="str">
        <x:v>CC-T035</x:v>
      </x:c>
      <x:c r="C144" s="3" t="n">
        <x:v>3</x:v>
      </x:c>
      <x:c r="D144" s="3" t="str">
        <x:v>Verify experimental generative redrawing against every acceptance criterion.
1. Draft labels, original references, review state and exclusion from authoritative retrieval</x:v>
      </x:c>
      <x:c r="E144" s="7" t="str">
        <x:v>Not started</x:v>
      </x:c>
      <x:c r="F144" s="7" t="str"/>
      <x:c r="G144" s="3" t="str">
        <x:v>Activation is deferred; establish and review the task acceptance suite before implementation.
All applicable acceptance criteria pass; separately record manual-source, hardware or clean-installation observations when required.</x:v>
      </x:c>
      <x:c r="H144" s="3" t="str">
        <x:v>Local development</x:v>
      </x:c>
      <x:c r="I144" s="7" t="str"/>
      <x:c r="J144" s="3" t="str">
        <x:v>Engineering</x:v>
      </x:c>
      <x:c r="K144" s="3" t="str">
        <x:v>Future</x:v>
      </x:c>
      <x:c r="L144" s="3" t="str">
        <x:v>["CC-T035-S02"]</x:v>
      </x:c>
      <x:c r="M144" s="3" t="str">
        <x:v>["CC-D013"]</x:v>
      </x:c>
      <x:c r="N144" s="3" t="str">
        <x:v>["CC-E143"]</x:v>
      </x:c>
      <x:c r="O144" s="3" t="str">
        <x:v>Draft labels, original references, review state and exclusion from authoritative retrieval</x:v>
      </x:c>
      <x:c r="P144" s="3" t="str">
        <x:v>["evidence/CC-T035/verification/"]</x:v>
      </x:c>
      <x:c r="Q144" s="3" t="str">
        <x:v>CC_Workshop_Implementation_Plan.md#52-future-work-rows</x:v>
      </x:c>
      <x:c r="R144" s="8" t="n">
        <x:v>46275.51530535879</x:v>
      </x:c>
      <x:c r="S144" s="8" t="str"/>
      <x:c r="T144" s="8" t="str"/>
      <x:c r="U144" s="7" t="str"/>
      <x:c r="V144" s="7" t="str"/>
      <x:c r="W144" s="7" t="str"/>
      <x:c r="X144" s="7" t="str"/>
    </x:row>
    <x:row r="145" ht="54" customHeight="1">
      <x:c r="A145" s="3" t="str">
        <x:v>CC-T035-S04</x:v>
      </x:c>
      <x:c r="B145" s="3" t="str">
        <x:v>CC-T035</x:v>
      </x:c>
      <x:c r="C145" s="3" t="n">
        <x:v>4</x:v>
      </x:c>
      <x:c r="D145" s="3" t="str">
        <x:v>Review experimental generative redrawing, reconcile its evidence and handover, and record the commit if one is created.</x:v>
      </x:c>
      <x:c r="E145" s="7" t="str">
        <x:v>Not started</x:v>
      </x:c>
      <x:c r="F145" s="7" t="str"/>
      <x:c r="G145" s="3" t="str">
        <x:v>Independent review and all required evidence resolve task acceptance; tracker and handover agree. Record only an existing commit.</x:v>
      </x:c>
      <x:c r="H145" s="3" t="str">
        <x:v>Local development</x:v>
      </x:c>
      <x:c r="I145" s="7" t="str"/>
      <x:c r="J145" s="3" t="str">
        <x:v>Engineering</x:v>
      </x:c>
      <x:c r="K145" s="3" t="str">
        <x:v>Future</x:v>
      </x:c>
      <x:c r="L145" s="3" t="str">
        <x:v>["CC-T035-S03"]</x:v>
      </x:c>
      <x:c r="M145" s="3" t="str">
        <x:v>["CC-D013"]</x:v>
      </x:c>
      <x:c r="N145" s="3" t="str">
        <x:v>["CC-E144"]</x:v>
      </x:c>
      <x:c r="O145" s="3" t="str">
        <x:v>Review findings resolved or explicitly recorded; evidence links valid; tracker consistent; commit field is blank or identifies an actual commit.</x:v>
      </x:c>
      <x:c r="P145" s="3" t="str">
        <x:v>["evidence/CC-T035/review/"]</x:v>
      </x:c>
      <x:c r="Q145" s="3" t="str">
        <x:v>CC_Workshop_Implementation_Plan.md#52-future-work-rows</x:v>
      </x:c>
      <x:c r="R145" s="8" t="n">
        <x:v>46275.51530535879</x:v>
      </x:c>
      <x:c r="S145" s="8" t="str"/>
      <x:c r="T145" s="8" t="str"/>
      <x:c r="U145" s="7" t="str"/>
      <x:c r="V145" s="7" t="str"/>
      <x:c r="W145" s="7" t="str"/>
      <x:c r="X145" s="7" t="str"/>
    </x:row>
  </x:sheetData>
  <x:conditionalFormatting sqref="E2:E145">
    <x:cfRule type="containsText" dxfId="3" priority="1" operator="containsText" text="Blocked"/>
    <x:cfRule type="containsText" dxfId="4" priority="2" operator="containsText" text="In progress"/>
    <x:cfRule type="containsText" dxfId="5" priority="3" operator="containsText" text="Done"/>
  </x:conditionalFormatting>
  <x:dataValidations count="3">
    <x:dataValidation type="list" sqref="E2:E145">
      <x:formula1>"Not started,In progress,Blocked,Done,Skipped,N/A"</x:formula1>
    </x:dataValidation>
    <x:dataValidation type="list" sqref="J2:J145">
      <x:formula1>"Planning,Research,Engineering"</x:formula1>
    </x:dataValidation>
    <x:dataValidation type="list" sqref="K2:K145">
      <x:formula1>"Initial,Future"</x:formula1>
    </x:dataValidation>
  </x:dataValidations>
  <x:pageMargins left="0.7" right="0.7" top="0.75" bottom="0.75" header="0.3" footer="0.3"/>
  <x:tableParts count="1">
    <x:tablePart xmlns:r="http://schemas.openxmlformats.org/officeDocument/2006/relationships" r:id="R69771119efe349ba"/>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7" hidden="0" customWidth="1"/>
    <x:col min="2" max="2" width="76" hidden="0" customWidth="1"/>
    <x:col min="3" max="3" width="52" hidden="0" customWidth="1"/>
    <x:col min="4" max="4" width="76" hidden="0" customWidth="1"/>
    <x:col min="5" max="5" width="76" hidden="0" customWidth="1"/>
    <x:col min="6" max="6" width="16" hidden="0" customWidth="1"/>
    <x:col min="7" max="7" width="17" hidden="0" customWidth="1"/>
    <x:col min="8" max="8" width="23" hidden="0" customWidth="1"/>
    <x:col min="9" max="9" width="18" hidden="0" customWidth="1"/>
    <x:col min="10" max="10" width="46" hidden="0" customWidth="1"/>
    <x:col min="11" max="11" width="38" hidden="0" customWidth="1"/>
    <x:col min="12" max="12" width="66" hidden="0" customWidth="1"/>
    <x:col min="13" max="13" width="20" hidden="0" customWidth="1"/>
    <x:col min="14" max="14" width="23" hidden="0" customWidth="1"/>
    <x:col min="15" max="15" width="20" hidden="0" customWidth="1"/>
  </x:cols>
  <x:sheetData>
    <x:row r="1" ht="34" customHeight="1">
      <x:c r="A1" s="6" t="str">
        <x:v>ID</x:v>
      </x:c>
      <x:c r="B1" s="6" t="str">
        <x:v>Question</x:v>
      </x:c>
      <x:c r="C1" s="6" t="str">
        <x:v>What it blocks</x:v>
      </x:c>
      <x:c r="D1" s="6" t="str">
        <x:v>Recommendation</x:v>
      </x:c>
      <x:c r="E1" s="6" t="str">
        <x:v>Answer</x:v>
      </x:c>
      <x:c r="F1" s="6" t="str">
        <x:v>Status</x:v>
      </x:c>
      <x:c r="G1" s="6" t="str">
        <x:v>Decided on</x:v>
      </x:c>
      <x:c r="H1" s="6" t="str">
        <x:v>Decision kind</x:v>
      </x:c>
      <x:c r="I1" s="6" t="str">
        <x:v>Owner</x:v>
      </x:c>
      <x:c r="J1" s="6" t="str">
        <x:v>Related task IDs</x:v>
      </x:c>
      <x:c r="K1" s="6" t="str">
        <x:v>Source/evidence IDs</x:v>
      </x:c>
      <x:c r="L1" s="6" t="str">
        <x:v>Effective when</x:v>
      </x:c>
      <x:c r="M1" s="6" t="str">
        <x:v>Supersedes ID</x:v>
      </x:c>
      <x:c r="N1" s="6" t="str">
        <x:v>Updated at</x:v>
      </x:c>
      <x:c r="O1" s="6" t="str">
        <x:v>Authority</x:v>
      </x:c>
    </x:row>
    <x:row r="2" ht="54" customHeight="1">
      <x:c r="A2" s="3" t="str">
        <x:v>CC-D001</x:v>
      </x:c>
      <x:c r="B2" s="3" t="str">
        <x:v>Combine audited CC Workshop reuse with a Windows installer, bundled llama.cpp and the concept document’s evidence controls.</x:v>
      </x:c>
      <x:c r="C2" s="3" t="str">
        <x:v>Established plan choice; relevant work must remain compatible.</x:v>
      </x:c>
      <x:c r="D2" s="3" t="str">
        <x:v>Combine audited CC Workshop reuse with a Windows installer, bundled llama.cpp and the concept document’s evidence controls.</x:v>
      </x:c>
      <x:c r="E2" s="7" t="str">
        <x:v>Combine audited CC Workshop reuse with a Windows installer, bundled llama.cpp and the concept document’s evidence controls.</x:v>
      </x:c>
      <x:c r="F2" s="7" t="str">
        <x:v>Answered</x:v>
      </x:c>
      <x:c r="G2" s="9" t="str"/>
      <x:c r="H2" s="3" t="str">
        <x:v>User choice</x:v>
      </x:c>
      <x:c r="I2" s="7" t="str"/>
      <x:c r="J2" s="3" t="str">
        <x:v>["CC-T000","CC-T001","CC-T002","CC-T011","CC-T029"]</x:v>
      </x:c>
      <x:c r="K2" s="3" t="str">
        <x:v>[]</x:v>
      </x:c>
      <x:c r="L2" s="3" t="str">
        <x:v>Approved initial implementation plan</x:v>
      </x:c>
      <x:c r="M2" s="3" t="str"/>
      <x:c r="N2" s="8" t="n">
        <x:v>46275.51530535879</x:v>
      </x:c>
      <x:c r="O2" s="3" t="str">
        <x:v>User session</x:v>
      </x:c>
    </x:row>
    <x:row r="3" ht="54" customHeight="1">
      <x:c r="A3" s="3" t="str">
        <x:v>CC-D002</x:v>
      </x:c>
      <x:c r="B3" s="3" t="str">
        <x:v>Serve a personal, multi-vehicle garage belonging to one owner.</x:v>
      </x:c>
      <x:c r="C3" s="3" t="str">
        <x:v>Established plan choice; relevant work must remain compatible.</x:v>
      </x:c>
      <x:c r="D3" s="3" t="str">
        <x:v>Serve a personal, multi-vehicle garage belonging to one owner.</x:v>
      </x:c>
      <x:c r="E3" s="7" t="str">
        <x:v>Serve a personal, multi-vehicle garage belonging to one owner.</x:v>
      </x:c>
      <x:c r="F3" s="7" t="str">
        <x:v>Answered</x:v>
      </x:c>
      <x:c r="G3" s="9" t="str"/>
      <x:c r="H3" s="3" t="str">
        <x:v>User choice</x:v>
      </x:c>
      <x:c r="I3" s="7" t="str"/>
      <x:c r="J3" s="3" t="str">
        <x:v>["CC-T003","CC-T004","CC-T017"]</x:v>
      </x:c>
      <x:c r="K3" s="3" t="str">
        <x:v>[]</x:v>
      </x:c>
      <x:c r="L3" s="3" t="str">
        <x:v>Approved initial implementation plan</x:v>
      </x:c>
      <x:c r="M3" s="3" t="str"/>
      <x:c r="N3" s="8" t="n">
        <x:v>46275.51530535879</x:v>
      </x:c>
      <x:c r="O3" s="3" t="str">
        <x:v>User session</x:v>
      </x:c>
    </x:row>
    <x:row r="4" ht="54" customHeight="1">
      <x:c r="A4" s="3" t="str">
        <x:v>CC-D003</x:v>
      </x:c>
      <x:c r="B4" s="3" t="str">
        <x:v>Define portable CPU, single-GPU and multiple-GPU profiles; do not assume a hardware purchase or a particular machine.</x:v>
      </x:c>
      <x:c r="C4" s="3" t="str">
        <x:v>Established plan choice; relevant work must remain compatible.</x:v>
      </x:c>
      <x:c r="D4" s="3" t="str">
        <x:v>Define portable CPU, single-GPU and multiple-GPU profiles; do not assume a hardware purchase or a particular machine.</x:v>
      </x:c>
      <x:c r="E4" s="7" t="str">
        <x:v>Define portable CPU, single-GPU and multiple-GPU profiles; do not assume a hardware purchase or a particular machine.</x:v>
      </x:c>
      <x:c r="F4" s="7" t="str">
        <x:v>Answered</x:v>
      </x:c>
      <x:c r="G4" s="9" t="str"/>
      <x:c r="H4" s="3" t="str">
        <x:v>User choice</x:v>
      </x:c>
      <x:c r="I4" s="7" t="str"/>
      <x:c r="J4" s="3" t="str">
        <x:v>["CC-T010","CC-T012","CC-T030"]</x:v>
      </x:c>
      <x:c r="K4" s="3" t="str">
        <x:v>[]</x:v>
      </x:c>
      <x:c r="L4" s="3" t="str">
        <x:v>Approved initial implementation plan</x:v>
      </x:c>
      <x:c r="M4" s="3" t="str"/>
      <x:c r="N4" s="8" t="n">
        <x:v>46275.51530535879</x:v>
      </x:c>
      <x:c r="O4" s="3" t="str">
        <x:v>User session</x:v>
      </x:c>
    </x:row>
    <x:row r="5" ht="54" customHeight="1">
      <x:c r="A5" s="3" t="str">
        <x:v>CC-D004</x:v>
      </x:c>
      <x:c r="B5" s="3" t="str">
        <x:v>Core operation must work offline. Explicit downloads, imports and alternative local inference endpoints are allowed.</x:v>
      </x:c>
      <x:c r="C5" s="3" t="str">
        <x:v>Established plan choice; relevant work must remain compatible.</x:v>
      </x:c>
      <x:c r="D5" s="3" t="str">
        <x:v>Core operation must work offline. Explicit downloads, imports and alternative local inference endpoints are allowed.</x:v>
      </x:c>
      <x:c r="E5" s="7" t="str">
        <x:v>Core operation must work offline. Explicit downloads, imports and alternative local inference endpoints are allowed.</x:v>
      </x:c>
      <x:c r="F5" s="7" t="str">
        <x:v>Answered</x:v>
      </x:c>
      <x:c r="G5" s="9" t="str"/>
      <x:c r="H5" s="3" t="str">
        <x:v>User choice</x:v>
      </x:c>
      <x:c r="I5" s="7" t="str"/>
      <x:c r="J5" s="3" t="str">
        <x:v>["CC-T009","CC-T012","CC-T027","CC-T029"]</x:v>
      </x:c>
      <x:c r="K5" s="3" t="str">
        <x:v>[]</x:v>
      </x:c>
      <x:c r="L5" s="3" t="str">
        <x:v>Approved initial implementation plan</x:v>
      </x:c>
      <x:c r="M5" s="3" t="str"/>
      <x:c r="N5" s="8" t="n">
        <x:v>46275.51530535879</x:v>
      </x:c>
      <x:c r="O5" s="3" t="str">
        <x:v>User session</x:v>
      </x:c>
    </x:row>
    <x:row r="6" ht="54" customHeight="1">
      <x:c r="A6" s="3" t="str">
        <x:v>CC-D005</x:v>
      </x:c>
      <x:c r="B6" s="3" t="str">
        <x:v>Cloud inference, hosted application services and cloud image generation are not runtime dependencies.</x:v>
      </x:c>
      <x:c r="C6" s="3" t="str">
        <x:v>Established plan choice; relevant work must remain compatible.</x:v>
      </x:c>
      <x:c r="D6" s="3" t="str">
        <x:v>Cloud inference, hosted application services and cloud image generation are not runtime dependencies.</x:v>
      </x:c>
      <x:c r="E6" s="7" t="str">
        <x:v>Cloud inference, hosted application services and cloud image generation are not runtime dependencies.</x:v>
      </x:c>
      <x:c r="F6" s="7" t="str">
        <x:v>Noted</x:v>
      </x:c>
      <x:c r="G6" s="9" t="str"/>
      <x:c r="H6" s="3" t="str">
        <x:v>Source conflict</x:v>
      </x:c>
      <x:c r="I6" s="7" t="str"/>
      <x:c r="J6" s="3" t="str">
        <x:v>["CC-T009","CC-T011","CC-T012","CC-T027"]</x:v>
      </x:c>
      <x:c r="K6" s="3" t="str">
        <x:v>[]</x:v>
      </x:c>
      <x:c r="L6" s="3" t="str">
        <x:v>Approved initial implementation plan</x:v>
      </x:c>
      <x:c r="M6" s="3" t="str"/>
      <x:c r="N6" s="8" t="n">
        <x:v>46275.51530535879</x:v>
      </x:c>
      <x:c r="O6" s="3" t="str">
        <x:v>Source</x:v>
      </x:c>
    </x:row>
    <x:row r="7" ht="54" customHeight="1">
      <x:c r="A7" s="3" t="str">
        <x:v>CC-D006</x:v>
      </x:c>
      <x:c r="B7" s="3" t="str">
        <x:v>Preserve Flask, Waitress, browser assets and pywebview for the initial release.</x:v>
      </x:c>
      <x:c r="C7" s="3" t="str">
        <x:v>Established plan choice; relevant work must remain compatible.</x:v>
      </x:c>
      <x:c r="D7" s="3" t="str">
        <x:v>Preserve Flask, Waitress, browser assets and pywebview for the initial release.</x:v>
      </x:c>
      <x:c r="E7" s="7" t="str">
        <x:v>Preserve Flask, Waitress, browser assets and pywebview for the initial release.</x:v>
      </x:c>
      <x:c r="F7" s="7" t="str">
        <x:v>Assumed</x:v>
      </x:c>
      <x:c r="G7" s="9" t="str"/>
      <x:c r="H7" s="3" t="str">
        <x:v>Engineering default</x:v>
      </x:c>
      <x:c r="I7" s="7" t="str"/>
      <x:c r="J7" s="3" t="str">
        <x:v>["CC-T002","CC-T017","CC-T029"]</x:v>
      </x:c>
      <x:c r="K7" s="3" t="str">
        <x:v>[]</x:v>
      </x:c>
      <x:c r="L7" s="3" t="str">
        <x:v>Approved initial implementation plan</x:v>
      </x:c>
      <x:c r="M7" s="3" t="str"/>
      <x:c r="N7" s="8" t="n">
        <x:v>46275.51530535879</x:v>
      </x:c>
      <x:c r="O7" s="3" t="str">
        <x:v>Assumption</x:v>
      </x:c>
    </x:row>
    <x:row r="8" ht="54" customHeight="1">
      <x:c r="A8" s="3" t="str">
        <x:v>CC-D007</x:v>
      </x:c>
      <x:c r="B8" s="3" t="str">
        <x:v>Use embedded Chroma for vectors and SQLite for application records.</x:v>
      </x:c>
      <x:c r="C8" s="3" t="str">
        <x:v>Established plan choice; relevant work must remain compatible.</x:v>
      </x:c>
      <x:c r="D8" s="3" t="str">
        <x:v>Use embedded Chroma for vectors and SQLite for application records.</x:v>
      </x:c>
      <x:c r="E8" s="7" t="str">
        <x:v>Use embedded Chroma for vectors and SQLite for application records.</x:v>
      </x:c>
      <x:c r="F8" s="7" t="str">
        <x:v>Assumed</x:v>
      </x:c>
      <x:c r="G8" s="9" t="str"/>
      <x:c r="H8" s="3" t="str">
        <x:v>Engineering default</x:v>
      </x:c>
      <x:c r="I8" s="7" t="str"/>
      <x:c r="J8" s="3" t="str">
        <x:v>["CC-T003","CC-T013","CC-T028"]</x:v>
      </x:c>
      <x:c r="K8" s="3" t="str">
        <x:v>[]</x:v>
      </x:c>
      <x:c r="L8" s="3" t="str">
        <x:v>Approved initial implementation plan</x:v>
      </x:c>
      <x:c r="M8" s="3" t="str"/>
      <x:c r="N8" s="8" t="n">
        <x:v>46275.51530535879</x:v>
      </x:c>
      <x:c r="O8" s="3" t="str">
        <x:v>Assumption</x:v>
      </x:c>
    </x:row>
    <x:row r="9" ht="54" customHeight="1">
      <x:c r="A9" s="3" t="str">
        <x:v>CC-D008</x:v>
      </x:c>
      <x:c r="B9" s="3" t="str">
        <x:v>Use original figures and deterministic layouts for authoritative illustrated guides.</x:v>
      </x:c>
      <x:c r="C9" s="3" t="str">
        <x:v>Established plan choice; relevant work must remain compatible.</x:v>
      </x:c>
      <x:c r="D9" s="3" t="str">
        <x:v>Use original figures and deterministic layouts for authoritative illustrated guides.</x:v>
      </x:c>
      <x:c r="E9" s="7" t="str">
        <x:v>Use original figures and deterministic layouts for authoritative illustrated guides.</x:v>
      </x:c>
      <x:c r="F9" s="7" t="str">
        <x:v>Noted</x:v>
      </x:c>
      <x:c r="G9" s="9" t="str"/>
      <x:c r="H9" s="3" t="str">
        <x:v>Source conflict</x:v>
      </x:c>
      <x:c r="I9" s="7" t="str"/>
      <x:c r="J9" s="3" t="str">
        <x:v>["CC-T008","CC-T019","CC-T020","CC-T035"]</x:v>
      </x:c>
      <x:c r="K9" s="3" t="str">
        <x:v>[]</x:v>
      </x:c>
      <x:c r="L9" s="3" t="str">
        <x:v>Approved initial implementation plan</x:v>
      </x:c>
      <x:c r="M9" s="3" t="str"/>
      <x:c r="N9" s="8" t="n">
        <x:v>46275.51530535879</x:v>
      </x:c>
      <x:c r="O9" s="3" t="str">
        <x:v>Source</x:v>
      </x:c>
    </x:row>
    <x:row r="10" ht="54" customHeight="1">
      <x:c r="A10" s="3" t="str">
        <x:v>CC-D009</x:v>
      </x:c>
      <x:c r="B10" s="3" t="str">
        <x:v>Treat vehicle identity, hardware performance and existing corpus applicability as facts to establish, not facts supplied by examples.</x:v>
      </x:c>
      <x:c r="C10" s="3" t="str">
        <x:v>Established plan choice; relevant work must remain compatible.</x:v>
      </x:c>
      <x:c r="D10" s="3" t="str">
        <x:v>Treat vehicle identity, hardware performance and existing corpus applicability as facts to establish, not facts supplied by examples.</x:v>
      </x:c>
      <x:c r="E10" s="7" t="str">
        <x:v>Treat vehicle identity, hardware performance and existing corpus applicability as facts to establish, not facts supplied by examples.</x:v>
      </x:c>
      <x:c r="F10" s="7" t="str">
        <x:v>Noted</x:v>
      </x:c>
      <x:c r="G10" s="9" t="str"/>
      <x:c r="H10" s="3" t="str">
        <x:v>Source conflict</x:v>
      </x:c>
      <x:c r="I10" s="7" t="str"/>
      <x:c r="J10" s="3" t="str">
        <x:v>["CC-T004","CC-T007","CC-T025","CC-T026","CC-T030"]</x:v>
      </x:c>
      <x:c r="K10" s="3" t="str">
        <x:v>[]</x:v>
      </x:c>
      <x:c r="L10" s="3" t="str">
        <x:v>Approved initial implementation plan</x:v>
      </x:c>
      <x:c r="M10" s="3" t="str"/>
      <x:c r="N10" s="8" t="n">
        <x:v>46275.51530535879</x:v>
      </x:c>
      <x:c r="O10" s="3" t="str">
        <x:v>Source</x:v>
      </x:c>
    </x:row>
    <x:row r="11" ht="54" customHeight="1">
      <x:c r="A11" s="3" t="str">
        <x:v>CC-D010</x:v>
      </x:c>
      <x:c r="B11" s="3" t="str">
        <x:v>Keep the original Excel workbook unchanged and create a separate Automotive RAG tracker.</x:v>
      </x:c>
      <x:c r="C11" s="3" t="str">
        <x:v>Established plan choice; relevant work must remain compatible.</x:v>
      </x:c>
      <x:c r="D11" s="3" t="str">
        <x:v>Keep the original Excel workbook unchanged and create a separate Automotive RAG tracker.</x:v>
      </x:c>
      <x:c r="E11" s="7" t="str">
        <x:v>Keep the original Excel workbook unchanged and create a separate Automotive RAG tracker.</x:v>
      </x:c>
      <x:c r="F11" s="7" t="str">
        <x:v>Assumed</x:v>
      </x:c>
      <x:c r="G11" s="9" t="str"/>
      <x:c r="H11" s="3" t="str">
        <x:v>Engineering default</x:v>
      </x:c>
      <x:c r="I11" s="7" t="str"/>
      <x:c r="J11" s="3" t="str">
        <x:v>["CC-T000"]</x:v>
      </x:c>
      <x:c r="K11" s="3" t="str">
        <x:v>[]</x:v>
      </x:c>
      <x:c r="L11" s="3" t="str">
        <x:v>Approved initial implementation plan</x:v>
      </x:c>
      <x:c r="M11" s="3" t="str"/>
      <x:c r="N11" s="8" t="n">
        <x:v>46275.51530535879</x:v>
      </x:c>
      <x:c r="O11" s="3" t="str">
        <x:v>Assumption</x:v>
      </x:c>
    </x:row>
    <x:row r="12" ht="54" customHeight="1">
      <x:c r="A12" s="3" t="str">
        <x:v>CC-D011</x:v>
      </x:c>
      <x:c r="B12" s="3" t="str">
        <x:v>Activate future work: Timestamped video ingestion</x:v>
      </x:c>
      <x:c r="C12" s="3" t="str">
        <x:v>CC-T033</x:v>
      </x:c>
      <x:c r="D12" s="3" t="str">
        <x:v>Keep deferred until: Initial release accepted; local transcript/frame provenance contract reviewed</x:v>
      </x:c>
      <x:c r="E12" s="7" t="str"/>
      <x:c r="F12" s="7" t="str">
        <x:v>Deferred</x:v>
      </x:c>
      <x:c r="G12" s="9" t="str"/>
      <x:c r="H12" s="3" t="str">
        <x:v>User choice</x:v>
      </x:c>
      <x:c r="I12" s="7" t="str"/>
      <x:c r="J12" s="3" t="str">
        <x:v>["CC-T033"]</x:v>
      </x:c>
      <x:c r="K12" s="3" t="str">
        <x:v>[]</x:v>
      </x:c>
      <x:c r="L12" s="3" t="str">
        <x:v>Initial release accepted; local transcript/frame provenance contract reviewed</x:v>
      </x:c>
      <x:c r="M12" s="3" t="str"/>
      <x:c r="N12" s="8" t="n">
        <x:v>46275.51530535879</x:v>
      </x:c>
      <x:c r="O12" s="3" t="str">
        <x:v>Source</x:v>
      </x:c>
    </x:row>
    <x:row r="13" ht="54" customHeight="1">
      <x:c r="A13" s="3" t="str">
        <x:v>CC-D012</x:v>
      </x:c>
      <x:c r="B13" s="3" t="str">
        <x:v>Activate future work: Read-only OBD/CAN adapter</x:v>
      </x:c>
      <x:c r="C13" s="3" t="str">
        <x:v>CC-T034</x:v>
      </x:c>
      <x:c r="D13" s="3" t="str">
        <x:v>Keep deferred until: Supported hardware/protocol selected; adapter reviewed</x:v>
      </x:c>
      <x:c r="E13" s="7" t="str"/>
      <x:c r="F13" s="7" t="str">
        <x:v>Deferred</x:v>
      </x:c>
      <x:c r="G13" s="9" t="str"/>
      <x:c r="H13" s="3" t="str">
        <x:v>User choice</x:v>
      </x:c>
      <x:c r="I13" s="7" t="str"/>
      <x:c r="J13" s="3" t="str">
        <x:v>["CC-T034"]</x:v>
      </x:c>
      <x:c r="K13" s="3" t="str">
        <x:v>[]</x:v>
      </x:c>
      <x:c r="L13" s="3" t="str">
        <x:v>Supported hardware/protocol selected; adapter reviewed</x:v>
      </x:c>
      <x:c r="M13" s="3" t="str"/>
      <x:c r="N13" s="8" t="n">
        <x:v>46275.51530535879</x:v>
      </x:c>
      <x:c r="O13" s="3" t="str">
        <x:v>Source</x:v>
      </x:c>
    </x:row>
    <x:row r="14" ht="54" customHeight="1">
      <x:c r="A14" s="3" t="str">
        <x:v>CC-D013</x:v>
      </x:c>
      <x:c r="B14" s="3" t="str">
        <x:v>Activate future work: Experimental generative redrawing</x:v>
      </x:c>
      <x:c r="C14" s="3" t="str">
        <x:v>CC-T035</x:v>
      </x:c>
      <x:c r="D14" s="3" t="str">
        <x:v>Keep deferred until: Deterministic guide system accepted; separate provider policy established</x:v>
      </x:c>
      <x:c r="E14" s="7" t="str"/>
      <x:c r="F14" s="7" t="str">
        <x:v>Deferred</x:v>
      </x:c>
      <x:c r="G14" s="9" t="str"/>
      <x:c r="H14" s="3" t="str">
        <x:v>User choice</x:v>
      </x:c>
      <x:c r="I14" s="7" t="str"/>
      <x:c r="J14" s="3" t="str">
        <x:v>["CC-T035"]</x:v>
      </x:c>
      <x:c r="K14" s="3" t="str">
        <x:v>[]</x:v>
      </x:c>
      <x:c r="L14" s="3" t="str">
        <x:v>Deterministic guide system accepted; separate provider policy established</x:v>
      </x:c>
      <x:c r="M14" s="3" t="str"/>
      <x:c r="N14" s="8" t="n">
        <x:v>46275.51530535879</x:v>
      </x:c>
      <x:c r="O14" s="3" t="str">
        <x:v>Source</x:v>
      </x:c>
    </x:row>
    <x:row r="15" ht="84" customHeight="1">
      <x:c r="A15" s="3" t="str">
        <x:v>CC-D014</x:v>
      </x:c>
      <x:c r="B15" s="3" t="str">
        <x:v>Versioning rule for every compiled software edition</x:v>
      </x:c>
      <x:c r="C15" s="3" t="str">
        <x:v>Release packaging, installer evidence, handover closure and any claim that a compiled software edition has been created.</x:v>
      </x:c>
      <x:c r="D15" s="3" t="str">
        <x:v>Every software version that is created for this project must advance the application version number before release packaging. A compiled build must record the version, commit SHA, pushed branch, build artifact or installer manifest, and verification evidence in the tracker. A commit or push alone is not a compiled software version; a compiled artifact without a version bump cannot be marked as release evidence.</x:v>
      </x:c>
      <x:c r="E15" s="7" t="str">
        <x:v>Every software version that is created for this project must advance the application version number before release packaging. A compiled build must record the version, commit SHA, pushed branch, build artifact or installer manifest, and verification evidence in the tracker. A commit or push alone is not a compiled software version; a compiled artifact without a version bump cannot be marked as release evidence.</x:v>
      </x:c>
      <x:c r="F15" s="7" t="str">
        <x:v>Answered</x:v>
      </x:c>
      <x:c r="G15" s="9" t="n">
        <x:v>46279</x:v>
      </x:c>
      <x:c r="H15" s="3" t="str">
        <x:v>User rule</x:v>
      </x:c>
      <x:c r="I15" s="7" t="str">
        <x:v>Coordinator</x:v>
      </x:c>
      <x:c r="J15" s="3" t="str">
        <x:v>["CC-T029", "CC-T032"]</x:v>
      </x:c>
      <x:c r="K15" s="3" t="str">
        <x:v>["CC-E160"]</x:v>
      </x:c>
      <x:c r="L15" s="3" t="str">
        <x:v>Immediately for every future commit, push and compiled build made for this project.</x:v>
      </x:c>
      <x:c r="M15" s="3" t="str"/>
      <x:c r="N15" s="8" t="n">
        <x:v>46279.50255953704</x:v>
      </x:c>
      <x:c r="O15" s="3" t="str">
        <x:v>User session</x:v>
      </x:c>
    </x:row>
    <x:row r="16" ht="60" customHeight="1">
      <x:c r="A16" s="3" t="str">
        <x:v>CC-D015</x:v>
      </x:c>
      <x:c r="B16" s="3" t="str">
        <x:v>Continue implementation or stop and publish the current checkpoint?</x:v>
      </x:c>
      <x:c r="C16" s="3" t="str">
        <x:v>Further application implementation until user resumes.</x:v>
      </x:c>
      <x:c r="D16" s="3" t="str">
        <x:v>Save exact current state.</x:v>
      </x:c>
      <x:c r="E16" s="7" t="str">
        <x:v>User explicitly requested: stop; update the Excel sheet for changes made and upload to GitHub.</x:v>
      </x:c>
      <x:c r="F16" s="7" t="str">
        <x:v>Answered</x:v>
      </x:c>
      <x:c r="G16" s="9" t="n">
        <x:v>46275.54183342592</x:v>
      </x:c>
      <x:c r="H16" s="3" t="str">
        <x:v>User direction</x:v>
      </x:c>
      <x:c r="I16" s="7" t="str">
        <x:v>User</x:v>
      </x:c>
      <x:c r="J16" s="3" t="str">
        <x:v>["CC-T003","CC-T009"]</x:v>
      </x:c>
      <x:c r="K16" s="3" t="str">
        <x:v>["CC-E152"]</x:v>
      </x:c>
      <x:c r="L16" s="3" t="str">
        <x:v>Immediately; remain stopped until new user instruction.</x:v>
      </x:c>
      <x:c r="M16" s="3" t="str"/>
      <x:c r="N16" s="8" t="n">
        <x:v>46275.5420303125</x:v>
      </x:c>
      <x:c r="O16" s="3" t="str">
        <x:v>Latest explicit user request in this conversation.</x:v>
      </x:c>
    </x:row>
    <x:row r="17" ht="60" customHeight="1">
      <x:c r="A17" s="3" t="str">
        <x:v>CC-D016</x:v>
      </x:c>
      <x:c r="B17" s="3" t="str">
        <x:v>Resume the stopped CC Workshop project?</x:v>
      </x:c>
      <x:c r="C17" s="3" t="str">
        <x:v>Lifts the user hold in CC-D015.</x:v>
      </x:c>
      <x:c r="D17" s="3" t="str">
        <x:v>Continue from the saved Excel checkpoint.</x:v>
      </x:c>
      <x:c r="E17" s="7" t="str">
        <x:v>User explicitly requested continuation from the last tracked Excel progress.</x:v>
      </x:c>
      <x:c r="F17" s="7" t="str">
        <x:v>Answered</x:v>
      </x:c>
      <x:c r="G17" s="9" t="n">
        <x:v>46277.745404166664</x:v>
      </x:c>
      <x:c r="H17" s="3" t="str">
        <x:v>User direction</x:v>
      </x:c>
      <x:c r="I17" s="7" t="str">
        <x:v>User</x:v>
      </x:c>
      <x:c r="J17" s="3" t="str">
        <x:v>["CC-T003","CC-T009"]</x:v>
      </x:c>
      <x:c r="K17" s="3" t="str">
        <x:v>["CC-E154"]</x:v>
      </x:c>
      <x:c r="L17" s="3" t="str">
        <x:v>2026-09-12 user request; continue authorized implementation.</x:v>
      </x:c>
      <x:c r="M17" s="3" t="str">
        <x:v>CC-D015</x:v>
      </x:c>
      <x:c r="N17" s="8" t="n">
        <x:v>46277.745520185184</x:v>
      </x:c>
      <x:c r="O17" s="3" t="str">
        <x:v>Latest user request in this conversation.</x:v>
      </x:c>
    </x:row>
  </x:sheetData>
  <x:conditionalFormatting sqref="F2:F17">
    <x:cfRule type="containsText" dxfId="6" priority="1" operator="containsText" text="Deferred"/>
    <x:cfRule type="containsText" dxfId="7" priority="2" operator="containsText" text="Assumed"/>
  </x:conditionalFormatting>
  <x:dataValidations count="1">
    <x:dataValidation type="list" sqref="F2:F17">
      <x:formula1>"Open,Answered,Assumed,Deferred,Noted,N/A"</x:formula1>
    </x:dataValidation>
  </x:dataValidations>
  <x:pageMargins left="0.7" right="0.7" top="0.75" bottom="0.75" header="0.3" footer="0.3"/>
  <x:tableParts count="1">
    <x:tablePart xmlns:r="http://schemas.openxmlformats.org/officeDocument/2006/relationships" r:id="R3273690ccf8242bb"/>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7" hidden="0" customWidth="1"/>
    <x:col min="2" max="2" width="64" hidden="0" customWidth="1"/>
    <x:col min="3" max="3" width="80" hidden="0" customWidth="1"/>
    <x:col min="4" max="4" width="34" hidden="0" customWidth="1"/>
    <x:col min="5" max="5" width="16" hidden="0" customWidth="1"/>
    <x:col min="6" max="6" width="70" hidden="0" customWidth="1"/>
    <x:col min="7" max="7" width="64" hidden="0" customWidth="1"/>
    <x:col min="8" max="8" width="18" hidden="0" customWidth="1"/>
    <x:col min="9" max="9" width="35" hidden="0" customWidth="1"/>
    <x:col min="10" max="10" width="38" hidden="0" customWidth="1"/>
    <x:col min="11" max="11" width="70" hidden="0" customWidth="1"/>
    <x:col min="12" max="12" width="23" hidden="0" customWidth="1"/>
    <x:col min="13" max="13" width="46" hidden="0" customWidth="1"/>
    <x:col min="14" max="14" width="76" hidden="0" customWidth="1"/>
    <x:col min="15" max="15" width="13" hidden="0" customWidth="1"/>
    <x:col min="16" max="16" width="80" hidden="0" customWidth="1"/>
    <x:col min="17" max="17" width="80" hidden="0" customWidth="1"/>
    <x:col min="18" max="18" width="52" hidden="0" customWidth="1"/>
    <x:col min="19" max="19" width="30" hidden="0" customWidth="1"/>
    <x:col min="20" max="20" width="22" hidden="0" customWidth="1"/>
    <x:col min="21" max="21" width="20" hidden="0" customWidth="1"/>
  </x:cols>
  <x:sheetData>
    <x:row r="1" ht="34" customHeight="1">
      <x:c r="A1" s="6" t="str">
        <x:v>#</x:v>
      </x:c>
      <x:c r="B1" s="6" t="str">
        <x:v>Evidence required</x:v>
      </x:c>
      <x:c r="C1" s="6" t="str">
        <x:v>Detail</x:v>
      </x:c>
      <x:c r="D1" s="6" t="str">
        <x:v>Where</x:v>
      </x:c>
      <x:c r="E1" s="6" t="str">
        <x:v>Status</x:v>
      </x:c>
      <x:c r="F1" s="6" t="str">
        <x:v>Captured where</x:v>
      </x:c>
      <x:c r="G1" s="6" t="str">
        <x:v>Notes</x:v>
      </x:c>
      <x:c r="H1" s="6" t="str">
        <x:v>Evidence kind</x:v>
      </x:c>
      <x:c r="I1" s="6" t="str">
        <x:v>Related task IDs</x:v>
      </x:c>
      <x:c r="J1" s="6" t="str">
        <x:v>Related step IDs</x:v>
      </x:c>
      <x:c r="K1" s="6" t="str">
        <x:v>Artifact SHA256</x:v>
      </x:c>
      <x:c r="L1" s="6" t="str">
        <x:v>Observed at</x:v>
      </x:c>
      <x:c r="M1" s="6" t="str">
        <x:v>Environment / tool version</x:v>
      </x:c>
      <x:c r="N1" s="6" t="str">
        <x:v>Actual command</x:v>
      </x:c>
      <x:c r="O1" s="6" t="str">
        <x:v>Exit code</x:v>
      </x:c>
      <x:c r="P1" s="6" t="str">
        <x:v>Expected result</x:v>
      </x:c>
      <x:c r="Q1" s="6" t="str">
        <x:v>Actual result</x:v>
      </x:c>
      <x:c r="R1" s="6" t="str">
        <x:v>Source revision</x:v>
      </x:c>
      <x:c r="S1" s="6" t="str">
        <x:v>Run ID</x:v>
      </x:c>
      <x:c r="T1" s="6" t="str">
        <x:v>Reviewer</x:v>
      </x:c>
      <x:c r="U1" s="6" t="str">
        <x:v>Supersedes ID</x:v>
      </x:c>
    </x:row>
    <x:row r="2" ht="120" customHeight="1">
      <x:c r="A2" s="3" t="str">
        <x:v>CC-E001</x:v>
      </x:c>
      <x:c r="B2" s="3" t="str">
        <x:v>CC-T000-S01: Preserve and hash the three input files.</x:v>
      </x:c>
      <x:c r="C2" s="3" t="str">
        <x:v>Preserve and hash the three input files.</x:v>
      </x:c>
      <x:c r="D2" s="3" t="str">
        <x:v>Local development</x:v>
      </x:c>
      <x:c r="E2" s="7" t="str">
        <x:v>Done</x:v>
      </x:c>
      <x:c r="F2" s="7" t="str">
        <x:v>https://github.com/walladanger/vw-cc-2014-rag/blob/codex/cc-workshop-offline/docs/automotive-rag/evidence/work/input-manifest.json</x:v>
      </x:c>
      <x:c r="G2" s="7" t="str">
        <x:v>Observed evidence; see captured artifact for the exact checks and limitations.</x:v>
      </x:c>
      <x:c r="H2" s="3" t="str">
        <x:v>Source</x:v>
      </x:c>
      <x:c r="I2" s="3" t="str">
        <x:v>["CC-T000"]</x:v>
      </x:c>
      <x:c r="J2" s="3" t="str">
        <x:v>["CC-T000-S01"]</x:v>
      </x:c>
      <x:c r="K2" s="7" t="str">
        <x:v>6844ec77d93cf6a7547ec59d043c537a240495aa2ce9d1b5ced5745ce865a710</x:v>
      </x:c>
      <x:c r="L2" s="8" t="n">
        <x:v>46275.517036006946</x:v>
      </x:c>
      <x:c r="M2" s="7" t="str">
        <x:v>Windows; Node v24.19.0; Python 3.12.14; package versions in baseline report</x:v>
      </x:c>
      <x:c r="N2" s="7" t="str"/>
      <x:c r="O2" s="7" t="str"/>
      <x:c r="P2" s="3" t="str">
        <x:v>Preserve and hash the three input files.
Task acceptance:
Original workbook unchanged.
No legacy completion claims or approvals.
All IDs unique and dependency references valid.
Initial engineering progress is zero.
Research evidence is recorded separately.
Every sheet is visually readable.
The JSON export represents the same snapshot as Excel.</x:v>
      </x:c>
      <x:c r="Q2" s="7" t="str">
        <x:v>Three original files and preserved copies match the recorded SHA-256 digests; originals in Downloads remain unchanged.</x:v>
      </x:c>
      <x:c r="R2" s="7" t="str"/>
      <x:c r="S2" s="7" t="str">
        <x:v>CC-RUN-foundation-20260910-001</x:v>
      </x:c>
      <x:c r="T2" s="7" t="str">
        <x:v>Coordinator</x:v>
      </x:c>
      <x:c r="U2" s="7" t="str"/>
    </x:row>
    <x:row r="3" ht="120" customHeight="1">
      <x:c r="A3" s="3" t="str">
        <x:v>CC-E002</x:v>
      </x:c>
      <x:c r="B3" s="3" t="str">
        <x:v>CC-T000-S02: Create the six-tab tracker with the schemas and formulas above.</x:v>
      </x:c>
      <x:c r="C3" s="3" t="str">
        <x:v>Create the six-tab tracker with the schemas and formulas above.</x:v>
      </x:c>
      <x:c r="D3" s="3" t="str">
        <x:v>Local development</x:v>
      </x:c>
      <x:c r="E3" s="7" t="str">
        <x:v>Done</x:v>
      </x:c>
      <x:c r="F3" s="7" t="str">
        <x:v>work/build-tracker.mjs</x:v>
      </x:c>
      <x:c r="G3" s="7" t="str">
        <x:v>Observed evidence; see captured artifact for the exact checks and limitations.</x:v>
      </x:c>
      <x:c r="H3" s="3" t="str">
        <x:v>Design</x:v>
      </x:c>
      <x:c r="I3" s="3" t="str">
        <x:v>["CC-T000"]</x:v>
      </x:c>
      <x:c r="J3" s="3" t="str">
        <x:v>["CC-T000-S02"]</x:v>
      </x:c>
      <x:c r="K3" s="7" t="str">
        <x:v>65387624164898903b81f0be7db938bb22dd0bc3472d870d4111720384df229b</x:v>
      </x:c>
      <x:c r="L3" s="8" t="n">
        <x:v>46275.517036006946</x:v>
      </x:c>
      <x:c r="M3" s="7" t="str">
        <x:v>Windows; Node v24.19.0; Python 3.12.14; package versions in baseline report</x:v>
      </x:c>
      <x:c r="N3" s="7" t="str"/>
      <x:c r="O3" s="7" t="str"/>
      <x:c r="P3" s="3" t="str">
        <x:v>Create the six-tab tracker with the schemas and formulas above.
Task acceptance:
Original workbook unchanged.
No legacy completion claims or approvals.
All IDs unique and dependency references valid.
Initial engineering progress is zero.
Research evidence is recorded separately.
Every sheet is visually readable.
The JSON export represents the same snapshot as Excel.</x:v>
      </x:c>
      <x:c r="Q3" s="7" t="str">
        <x:v>Saved the six-tab tracker with required leading/appended headers, tables, status validation and calculated progress.</x:v>
      </x:c>
      <x:c r="R3" s="7" t="str"/>
      <x:c r="S3" s="7" t="str">
        <x:v>CC-RUN-foundation-20260910-001</x:v>
      </x:c>
      <x:c r="T3" s="7" t="str">
        <x:v>Coordinator</x:v>
      </x:c>
      <x:c r="U3" s="7" t="str"/>
    </x:row>
    <x:row r="4" ht="132" customHeight="1">
      <x:c r="A4" s="3" t="str">
        <x:v>CC-E003</x:v>
      </x:c>
      <x:c r="B4" s="3" t="str">
        <x:v>CC-T000-S03: Populate this plan’s tasks, steps, decisions, requirements and evidence requirements.</x:v>
      </x:c>
      <x:c r="C4" s="3" t="str">
        <x:v>Populate this plan’s tasks, steps, decisions, requirements and evidence requirements.</x:v>
      </x:c>
      <x:c r="D4" s="3" t="str">
        <x:v>Local development</x:v>
      </x:c>
      <x:c r="E4" s="7" t="str">
        <x:v>Done</x:v>
      </x:c>
      <x:c r="F4" s="7" t="str">
        <x:v>outputs/CC_Workshop_Implementation_Plan.json</x:v>
      </x:c>
      <x:c r="G4" s="7" t="str">
        <x:v>Observed evidence; see captured artifact for the exact checks and limitations.</x:v>
      </x:c>
      <x:c r="H4" s="3" t="str">
        <x:v>Design</x:v>
      </x:c>
      <x:c r="I4" s="3" t="str">
        <x:v>["CC-T000"]</x:v>
      </x:c>
      <x:c r="J4" s="3" t="str">
        <x:v>["CC-T000-S03"]</x:v>
      </x:c>
      <x:c r="K4" s="7" t="str">
        <x:v>73cb89ff7e613f6cf53248d222cb09c84e7a53a5d0df4249c449e26297185243</x:v>
      </x:c>
      <x:c r="L4" s="8" t="n">
        <x:v>46275.517036006946</x:v>
      </x:c>
      <x:c r="M4" s="7" t="str">
        <x:v>Windows; Node v24.19.0; Python 3.12.14; package versions in baseline report</x:v>
      </x:c>
      <x:c r="N4" s="7" t="str"/>
      <x:c r="O4" s="7" t="str"/>
      <x:c r="P4" s="3" t="str">
        <x:v>Populate this plan’s tasks, steps, decisions, requirements and evidence requirements.
Task acceptance:
Original workbook unchanged.
No legacy completion claims or approvals.
All IDs unique and dependency references valid.
Initial engineering progress is zero.
Research evidence is recorded separately.
Every sheet is visually readable.
The JSON export represents the same snapshot as Excel.</x:v>
      </x:c>
      <x:c r="Q4" s="7" t="str">
        <x:v>Populated 36 tasks, 144 steps, 161 acceptance requirements, 13 plan decisions and per-step evidence requirements; engineering progress is zero.</x:v>
      </x:c>
      <x:c r="R4" s="7" t="str"/>
      <x:c r="S4" s="7" t="str">
        <x:v>CC-RUN-foundation-20260910-001</x:v>
      </x:c>
      <x:c r="T4" s="7" t="str">
        <x:v>Coordinator</x:v>
      </x:c>
      <x:c r="U4" s="7" t="str"/>
    </x:row>
    <x:row r="5" ht="120" customHeight="1">
      <x:c r="A5" s="3" t="str">
        <x:v>CC-E004</x:v>
      </x:c>
      <x:c r="B5" s="3" t="str">
        <x:v>CC-T000-S04: Validate the saved workbook and generated JSON snapshot.</x:v>
      </x:c>
      <x:c r="C5" s="3" t="str">
        <x:v>Validate the saved workbook and generated JSON snapshot.</x:v>
      </x:c>
      <x:c r="D5" s="3" t="str">
        <x:v>Local development</x:v>
      </x:c>
      <x:c r="E5" s="7" t="str">
        <x:v>Done</x:v>
      </x:c>
      <x:c r="F5" s="7" t="str">
        <x:v>work/saved-tracker-validation.json</x:v>
      </x:c>
      <x:c r="G5" s="7" t="str">
        <x:v>Observed evidence; see captured artifact for the exact checks and limitations.</x:v>
      </x:c>
      <x:c r="H5" s="3" t="str">
        <x:v>Review</x:v>
      </x:c>
      <x:c r="I5" s="3" t="str">
        <x:v>["CC-T000"]</x:v>
      </x:c>
      <x:c r="J5" s="3" t="str">
        <x:v>["CC-T000-S04"]</x:v>
      </x:c>
      <x:c r="K5" s="7" t="str">
        <x:v>264a556c86445bc2e64c19cd64639690995b2d5b2cfa6f3c665c273966dd49fd</x:v>
      </x:c>
      <x:c r="L5" s="8" t="n">
        <x:v>46275.517036006946</x:v>
      </x:c>
      <x:c r="M5" s="7" t="str">
        <x:v>Windows; Node v24.19.0; Python 3.12.14; package versions in baseline report</x:v>
      </x:c>
      <x:c r="N5" s="7" t="str"/>
      <x:c r="O5" s="7" t="str"/>
      <x:c r="P5" s="3" t="str">
        <x:v>Validate the saved workbook and generated JSON snapshot.
Task acceptance:
Original workbook unchanged.
No legacy completion claims or approvals.
All IDs unique and dependency references valid.
Initial engineering progress is zero.
Research evidence is recorded separately.
Every sheet is visually readable.
The JSON export represents the same snapshot as Excel.</x:v>
      </x:c>
      <x:c r="Q5" s="7" t="str">
        <x:v>Saved workbook/JSON validation passed. Coordinator visually inspected all six sheets and progress summary. Original inputs unchanged, IDs and snapshot agree, named tables present, no cached formula errors or legacy content.</x:v>
      </x:c>
      <x:c r="R5" s="7" t="str"/>
      <x:c r="S5" s="7" t="str">
        <x:v>CC-RUN-foundation-20260910-001</x:v>
      </x:c>
      <x:c r="T5" s="7" t="str">
        <x:v>Coordinator</x:v>
      </x:c>
      <x:c r="U5" s="7" t="str"/>
    </x:row>
    <x:row r="6" ht="120" customHeight="1">
      <x:c r="A6" s="3" t="str">
        <x:v>CC-E005</x:v>
      </x:c>
      <x:c r="B6" s="3" t="str">
        <x:v>CC-T001-S01: Obtain a working checkout and record its exact revision without replacing unrelated work.</x:v>
      </x:c>
      <x:c r="C6" s="3" t="str">
        <x:v>Obtain a working checkout and record its exact revision without replacing unrelated work.</x:v>
      </x:c>
      <x:c r="D6" s="3" t="str">
        <x:v>Local development</x:v>
      </x:c>
      <x:c r="E6" s="7" t="str">
        <x:v>Done</x:v>
      </x:c>
      <x:c r="F6" s="7" t="str">
        <x:v>https://github.com/walladanger/vw-cc-2014-rag/blob/codex/cc-workshop-offline/docs/automotive-rag/evidence/work/baseline-report.md</x:v>
      </x:c>
      <x:c r="G6" s="7" t="str">
        <x:v>Observed evidence; see captured artifact for the exact checks and limitations.</x:v>
      </x:c>
      <x:c r="H6" s="3" t="str">
        <x:v>Research</x:v>
      </x:c>
      <x:c r="I6" s="3" t="str">
        <x:v>["CC-T001"]</x:v>
      </x:c>
      <x:c r="J6" s="3" t="str">
        <x:v>["CC-T001-S01"]</x:v>
      </x:c>
      <x:c r="K6" s="7" t="str">
        <x:v>baa2158a15c9d3005cdb16b955f307e1504bcdb9247348d3d06ae358f46fcb40</x:v>
      </x:c>
      <x:c r="L6" s="8" t="n">
        <x:v>46275.517036006946</x:v>
      </x:c>
      <x:c r="M6" s="7" t="str">
        <x:v>Windows; Node v24.19.0; Python 3.12.14; package versions in baseline report</x:v>
      </x:c>
      <x:c r="N6" s="7" t="str"/>
      <x:c r="O6" s="7" t="str"/>
      <x:c r="P6" s="3" t="str">
        <x:v>Obtain a working checkout and record its exact revision without replacing unrelated work.
Task acceptance:
Source revision and environment recorded.
Declared package versions distinguished from successfully resolved packages.
The Chroma call-signature mismatch has a reproducible regression fixture.
Existing permissive applicability tests are identified.
No supplied executable is treated as trusted merely because it exists.</x:v>
      </x:c>
      <x:c r="Q6" s="7" t="str">
        <x:v>Isolated checkout is at 646df53b3945e8444877480b3976ca3e8b46007b on codex/cc-workshop-offline; Python 3.12.14 development environment recorded.</x:v>
      </x:c>
      <x:c r="R6" s="7" t="str"/>
      <x:c r="S6" s="7" t="str">
        <x:v>CC-RUN-foundation-20260910-001</x:v>
      </x:c>
      <x:c r="T6" s="7" t="str">
        <x:v>Coordinator</x:v>
      </x:c>
      <x:c r="U6" s="7" t="str"/>
    </x:row>
    <x:row r="7" ht="120" customHeight="1">
      <x:c r="A7" s="3" t="str">
        <x:v>CC-E006</x:v>
      </x:c>
      <x:c r="B7" s="3" t="str">
        <x:v>CC-T001-S02: Inspect dependency declarations, entry points, existing tests and data formats.</x:v>
      </x:c>
      <x:c r="C7" s="3" t="str">
        <x:v>Inspect dependency declarations, entry points, existing tests and data formats.</x:v>
      </x:c>
      <x:c r="D7" s="3" t="str">
        <x:v>Local development</x:v>
      </x:c>
      <x:c r="E7" s="7" t="str">
        <x:v>Done</x:v>
      </x:c>
      <x:c r="F7" s="7" t="str">
        <x:v>https://github.com/walladanger/vw-cc-2014-rag/blob/codex/cc-workshop-offline/docs/automotive-rag/evidence/work/baseline-reuse-matrix.md</x:v>
      </x:c>
      <x:c r="G7" s="7" t="str">
        <x:v>Observed evidence; see captured artifact for the exact checks and limitations.</x:v>
      </x:c>
      <x:c r="H7" s="3" t="str">
        <x:v>Research</x:v>
      </x:c>
      <x:c r="I7" s="3" t="str">
        <x:v>["CC-T001"]</x:v>
      </x:c>
      <x:c r="J7" s="3" t="str">
        <x:v>["CC-T001-S02"]</x:v>
      </x:c>
      <x:c r="K7" s="7" t="str">
        <x:v>4c3555c534d1ec718af30fe4988b6095151c81337dca25748bcb0fc7c3bb608a</x:v>
      </x:c>
      <x:c r="L7" s="8" t="n">
        <x:v>46275.517036006946</x:v>
      </x:c>
      <x:c r="M7" s="7" t="str">
        <x:v>Windows; Node v24.19.0; Python 3.12.14; package versions in baseline report</x:v>
      </x:c>
      <x:c r="N7" s="7" t="str"/>
      <x:c r="O7" s="7" t="str"/>
      <x:c r="P7" s="3" t="str">
        <x:v>Inspect dependency declarations, entry points, existing tests and data formats.
Task acceptance:
Source revision and environment recorded.
Declared package versions distinguished from successfully resolved packages.
The Chroma call-signature mismatch has a reproducible regression fixture.
Existing permissive applicability tests are identified.
No supplied executable is treated as trusted merely because it exists.</x:v>
      </x:c>
      <x:c r="Q7" s="7" t="str">
        <x:v>Mapped source reuse and declared versus installed dependencies, identified permissive applicability tests and unvalidated optional dependencies.</x:v>
      </x:c>
      <x:c r="R7" s="7" t="str"/>
      <x:c r="S7" s="7" t="str">
        <x:v>CC-RUN-foundation-20260910-001</x:v>
      </x:c>
      <x:c r="T7" s="7" t="str">
        <x:v>Coordinator</x:v>
      </x:c>
      <x:c r="U7" s="7" t="str"/>
    </x:row>
    <x:row r="8" ht="108" customHeight="1">
      <x:c r="A8" s="3" t="str">
        <x:v>CC-E007</x:v>
      </x:c>
      <x:c r="B8" s="3" t="str">
        <x:v>CC-T001-S03: Run available baseline checks in an isolated development environment.</x:v>
      </x:c>
      <x:c r="C8" s="3" t="str">
        <x:v>Run available baseline checks in an isolated development environment.</x:v>
      </x:c>
      <x:c r="D8" s="3" t="str">
        <x:v>Local development</x:v>
      </x:c>
      <x:c r="E8" s="7" t="str">
        <x:v>Done</x:v>
      </x:c>
      <x:c r="F8" s="7" t="str">
        <x:v>https://github.com/walladanger/vw-cc-2014-rag/blob/codex/cc-workshop-offline/docs/automotive-rag/evidence/work/baseline-reuse-matrix.md</x:v>
      </x:c>
      <x:c r="G8" s="7" t="str">
        <x:v>Observed evidence; see captured artifact for the exact checks and limitations.</x:v>
      </x:c>
      <x:c r="H8" s="3" t="str">
        <x:v>Execution</x:v>
      </x:c>
      <x:c r="I8" s="3" t="str">
        <x:v>["CC-T001"]</x:v>
      </x:c>
      <x:c r="J8" s="3" t="str">
        <x:v>["CC-T001-S03"]</x:v>
      </x:c>
      <x:c r="K8" s="7" t="str">
        <x:v>4c3555c534d1ec718af30fe4988b6095151c81337dca25748bcb0fc7c3bb608a</x:v>
      </x:c>
      <x:c r="L8" s="8" t="n">
        <x:v>46275.517036006946</x:v>
      </x:c>
      <x:c r="M8" s="7" t="str">
        <x:v>Windows; Node v24.19.0; Python 3.12.14; package versions in baseline report</x:v>
      </x:c>
      <x:c r="N8" s="7" t="str"/>
      <x:c r="O8" s="7" t="str"/>
      <x:c r="P8" s="3" t="str">
        <x:v>Run available baseline checks in an isolated development environment.
Task acceptance:
Source revision and environment recorded.
Declared package versions distinguished from successfully resolved packages.
The Chroma call-signature mismatch has a reproducible regression fixture.
Existing permissive applicability tests are identified.
No supplied executable is treated as trusted merely because it exists.</x:v>
      </x:c>
      <x:c r="Q8" s="7" t="str">
        <x:v>Existing suite: 50 passed. Specification self-test: 11/11. pip check passed. Isolated Chroma regression: one pass and one expected failure proving unsupported profile keyword.</x:v>
      </x:c>
      <x:c r="R8" s="7" t="str"/>
      <x:c r="S8" s="7" t="str">
        <x:v>CC-RUN-foundation-20260910-001</x:v>
      </x:c>
      <x:c r="T8" s="7" t="str">
        <x:v>Coordinator</x:v>
      </x:c>
      <x:c r="U8" s="7" t="str"/>
    </x:row>
    <x:row r="9" ht="108" customHeight="1">
      <x:c r="A9" s="3" t="str">
        <x:v>CC-E008</x:v>
      </x:c>
      <x:c r="B9" s="3" t="str">
        <x:v>CC-T001-S04: Produce a keep/adapt/replace matrix and capture failures.</x:v>
      </x:c>
      <x:c r="C9" s="3" t="str">
        <x:v>Produce a keep/adapt/replace matrix and capture failures.</x:v>
      </x:c>
      <x:c r="D9" s="3" t="str">
        <x:v>Local development</x:v>
      </x:c>
      <x:c r="E9" s="7" t="str">
        <x:v>Done</x:v>
      </x:c>
      <x:c r="F9" s="7" t="str">
        <x:v>https://github.com/walladanger/vw-cc-2014-rag/blob/codex/cc-workshop-offline/docs/automotive-rag/evidence/work/baseline-reuse-matrix.md</x:v>
      </x:c>
      <x:c r="G9" s="7" t="str">
        <x:v>Observed evidence; see captured artifact for the exact checks and limitations.</x:v>
      </x:c>
      <x:c r="H9" s="3" t="str">
        <x:v>Review</x:v>
      </x:c>
      <x:c r="I9" s="3" t="str">
        <x:v>["CC-T001"]</x:v>
      </x:c>
      <x:c r="J9" s="3" t="str">
        <x:v>["CC-T001-S04"]</x:v>
      </x:c>
      <x:c r="K9" s="7" t="str">
        <x:v>4c3555c534d1ec718af30fe4988b6095151c81337dca25748bcb0fc7c3bb608a</x:v>
      </x:c>
      <x:c r="L9" s="8" t="n">
        <x:v>46275.517036006946</x:v>
      </x:c>
      <x:c r="M9" s="7" t="str">
        <x:v>Windows; Node v24.19.0; Python 3.12.14; package versions in baseline report</x:v>
      </x:c>
      <x:c r="N9" s="7" t="str"/>
      <x:c r="O9" s="7" t="str"/>
      <x:c r="P9" s="3" t="str">
        <x:v>Produce a keep/adapt/replace matrix and capture failures.
Task acceptance:
Source revision and environment recorded.
Declared package versions distinguished from successfully resolved packages.
The Chroma call-signature mismatch has a reproducible regression fixture.
Existing permissive applicability tests are identified.
No supplied executable is treated as trusted merely because it exists.</x:v>
      </x:c>
      <x:c r="Q9" s="7" t="str">
        <x:v>Coordinator reviewed baseline evidence and reuse matrix against T001 acceptance. Existing tests do not prove the new application capabilities; failure and missing runtime/model assets are recorded.</x:v>
      </x:c>
      <x:c r="R9" s="7" t="str"/>
      <x:c r="S9" s="7" t="str">
        <x:v>CC-RUN-foundation-20260910-001</x:v>
      </x:c>
      <x:c r="T9" s="7" t="str">
        <x:v>Coordinator</x:v>
      </x:c>
      <x:c r="U9" s="7" t="str"/>
    </x:row>
    <x:row r="10" ht="108" customHeight="1">
      <x:c r="A10" s="3" t="str">
        <x:v>CC-E009</x:v>
      </x:c>
      <x:c r="B10" s="3" t="str">
        <x:v>CC-T002-S01: Regression fixtures and observed baseline gap</x:v>
      </x:c>
      <x:c r="C10" s="3" t="str">
        <x:v>Fixtures cover these expected behaviors and demonstrate the relevant baseline gap:
Supported query backends return a valid response or structured unavailable state.
Fresh startup succeeds without a pre-existing logs directory.
No cloud embedding branch activates in the selected runtime.
Required desktop operation does not install optional video transcription dependencies.</x:v>
      </x:c>
      <x:c r="D10" s="3" t="str">
        <x:v>Local development</x:v>
      </x:c>
      <x:c r="E10" s="7" t="str">
        <x:v>Done</x:v>
      </x:c>
      <x:c r="F10" s="7" t="str">
        <x:v>https://github.com/walladanger/vw-cc-2014-rag/blob/codex/cc-workshop-offline/docs/automotive-rag/evidence/work/evidence/CC-T002-red-initial.log</x:v>
      </x:c>
      <x:c r="G10" s="7" t="str">
        <x:v>Actual task acceptance evidence; source commit and immutable run artifacts retained.</x:v>
      </x:c>
      <x:c r="H10" s="3" t="str">
        <x:v>Execution</x:v>
      </x:c>
      <x:c r="I10" s="3" t="str">
        <x:v>["CC-T002"]</x:v>
      </x:c>
      <x:c r="J10" s="3" t="str">
        <x:v>["CC-T002-S01"]</x:v>
      </x:c>
      <x:c r="K10" s="7" t="str">
        <x:v>43a5149f69b3717683b82d04bec6b80776d4ed2a68c60dd23e3a97c8e85546d9</x:v>
      </x:c>
      <x:c r="L10" s="8" t="n">
        <x:v>46275.53426082176</x:v>
      </x:c>
      <x:c r="M10" s="7" t="str">
        <x:v>Windows x64; Python 3.12.14; resolved requirements-py312-win.lock; pytest 9.1.1</x:v>
      </x:c>
      <x:c r="N10" s="7" t="str">
        <x:v>python -m pytest -q tests/acceptance/test_runtime_contracts.py</x:v>
      </x:c>
      <x:c r="O10" s="7" t="n">
        <x:v>1</x:v>
      </x:c>
      <x:c r="P10" s="3" t="str">
        <x:v>python -m pytest -q tests/acceptance/test_runtime_contracts.py
Confirm the relevant missing or incorrect behavior for the task's acceptance criteria; record the actual failing behavior and command result.</x:v>
      </x:c>
      <x:c r="Q10" s="7" t="str">
        <x:v>Task-specific missing contract, retrieval signature and dependency behavior reproduced before implementation.</x:v>
      </x:c>
      <x:c r="R10" s="7" t="str">
        <x:v>88934b493a27e67e77052fd064757278523b40be</x:v>
      </x:c>
      <x:c r="S10" s="7" t="str">
        <x:v>CC-RUN-T002-coordinator-final</x:v>
      </x:c>
      <x:c r="T10" s="7" t="str">
        <x:v>Coordinator</x:v>
      </x:c>
      <x:c r="U10" s="7" t="str"/>
    </x:row>
    <x:row r="11" ht="96" customHeight="1">
      <x:c r="A11" s="3" t="str">
        <x:v>CC-E010</x:v>
      </x:c>
      <x:c r="B11" s="3" t="str">
        <x:v>CC-T002-S02: Implementation record</x:v>
      </x:c>
      <x:c r="C11" s="3" t="str">
        <x:v>Introduce the application package and shared request/result contracts.
Repair the retrieval method mismatch.
Move logs and writable state outside application installation paths.
Make server binding explicitly loopback by default.
Split required runtime, optional ingestion, development and packaging dependencies.
Establish reproducible dependency locks after successful resolution.</x:v>
      </x:c>
      <x:c r="D11" s="3" t="str">
        <x:v>Local development</x:v>
      </x:c>
      <x:c r="E11" s="7" t="str">
        <x:v>Done</x:v>
      </x:c>
      <x:c r="F11" s="7" t="str">
        <x:v>https://github.com/walladanger/vw-cc-2014-rag/blob/codex/cc-workshop-offline/docs/automotive-rag/evidence/work/evidence/CC-T002-commit.json</x:v>
      </x:c>
      <x:c r="G11" s="7" t="str">
        <x:v>Actual task acceptance evidence; source commit and immutable run artifacts retained.</x:v>
      </x:c>
      <x:c r="H11" s="3" t="str">
        <x:v>Design</x:v>
      </x:c>
      <x:c r="I11" s="3" t="str">
        <x:v>["CC-T002"]</x:v>
      </x:c>
      <x:c r="J11" s="3" t="str">
        <x:v>["CC-T002-S02"]</x:v>
      </x:c>
      <x:c r="K11" s="7" t="str">
        <x:v>ea0387259c03c9e89c1b0b0d8e4e4fc2ad66cd6a846ce244d0ac55122b3f15a5</x:v>
      </x:c>
      <x:c r="L11" s="8" t="n">
        <x:v>46275.53426082176</x:v>
      </x:c>
      <x:c r="M11" s="7" t="str">
        <x:v>Windows x64; Python 3.12.14; resolved requirements-py312-win.lock; pytest 9.1.1</x:v>
      </x:c>
      <x:c r="N11" s="7" t="str"/>
      <x:c r="O11" s="7" t="str"/>
      <x:c r="P11" s="3" t="str">
        <x:v>Implementation covers the task-specific behavior; no claim of verification is made until S03.</x:v>
      </x:c>
      <x:c r="Q11" s="7" t="str">
        <x:v>Implemented immutable context, consistent writable data paths, loopback defaults, cloud embedding rejection, local-only legacy model loading, structured backend errors and dependency split. Source committed locally.</x:v>
      </x:c>
      <x:c r="R11" s="7" t="str">
        <x:v>88934b493a27e67e77052fd064757278523b40be</x:v>
      </x:c>
      <x:c r="S11" s="7" t="str">
        <x:v>CC-RUN-T002-coordinator-final</x:v>
      </x:c>
      <x:c r="T11" s="7" t="str">
        <x:v>Coordinator</x:v>
      </x:c>
      <x:c r="U11" s="7" t="str"/>
    </x:row>
    <x:row r="12" ht="84" customHeight="1">
      <x:c r="A12" s="3" t="str">
        <x:v>CC-E011</x:v>
      </x:c>
      <x:c r="B12" s="3" t="str">
        <x:v>CC-T002-S03: Acceptance verification</x:v>
      </x:c>
      <x:c r="C12" s="3" t="str">
        <x:v>Supported query backends return a valid response or structured unavailable state.
Fresh startup succeeds without a pre-existing logs directory.
No cloud embedding branch activates in the selected runtime.
Required desktop operation does not install optional video transcription dependencies.</x:v>
      </x:c>
      <x:c r="D12" s="3" t="str">
        <x:v>Local development</x:v>
      </x:c>
      <x:c r="E12" s="7" t="str">
        <x:v>Done</x:v>
      </x:c>
      <x:c r="F12" s="7" t="str">
        <x:v>https://github.com/walladanger/vw-cc-2014-rag/blob/codex/cc-workshop-offline/docs/automotive-rag/evidence/work/evidence/CC-T002-coordinator-final.xml</x:v>
      </x:c>
      <x:c r="G12" s="7" t="str">
        <x:v>Actual task acceptance evidence; source commit and immutable run artifacts retained.</x:v>
      </x:c>
      <x:c r="H12" s="3" t="str">
        <x:v>Execution</x:v>
      </x:c>
      <x:c r="I12" s="3" t="str">
        <x:v>["CC-T002"]</x:v>
      </x:c>
      <x:c r="J12" s="3" t="str">
        <x:v>["CC-T002-S03"]</x:v>
      </x:c>
      <x:c r="K12" s="7" t="str">
        <x:v>29d76e146ad407bcf7c4ff318e6a4e192790035d6e3a51197d78346ea9378703</x:v>
      </x:c>
      <x:c r="L12" s="8" t="n">
        <x:v>46275.53426082176</x:v>
      </x:c>
      <x:c r="M12" s="7" t="str">
        <x:v>Windows x64; Python 3.12.14; resolved requirements-py312-win.lock; pytest 9.1.1</x:v>
      </x:c>
      <x:c r="N12" s="7" t="str">
        <x:v>python -m pytest -q tests --junitxml=../evidence/CC-T002-coordinator-final.xml</x:v>
      </x:c>
      <x:c r="O12" s="7" t="n">
        <x:v>0</x:v>
      </x:c>
      <x:c r="P12" s="3" t="str">
        <x:v>python -m pytest -q tests/acceptance/test_runtime_contracts.py
All applicable acceptance criteria pass; separately record manual-source, hardware or clean-installation observations when required.</x:v>
      </x:c>
      <x:c r="Q12" s="7" t="str">
        <x:v>Coordinator full suite passed: 67 tests and 13 subtests. Actual persistent Chroma regression and isolated startup checks included.</x:v>
      </x:c>
      <x:c r="R12" s="7" t="str">
        <x:v>88934b493a27e67e77052fd064757278523b40be</x:v>
      </x:c>
      <x:c r="S12" s="7" t="str">
        <x:v>CC-RUN-T002-coordinator-final</x:v>
      </x:c>
      <x:c r="T12" s="7" t="str">
        <x:v>Coordinator</x:v>
      </x:c>
      <x:c r="U12" s="7" t="str"/>
    </x:row>
    <x:row r="13" ht="54" customHeight="1">
      <x:c r="A13" s="3" t="str">
        <x:v>CC-E012</x:v>
      </x:c>
      <x:c r="B13" s="3" t="str">
        <x:v>CC-T002-S04: Review and handover</x:v>
      </x:c>
      <x:c r="C13" s="3" t="str">
        <x:v>Review findings resolved or explicitly recorded; evidence links valid; tracker consistent; commit field is blank or identifies an actual commit.</x:v>
      </x:c>
      <x:c r="D13" s="3" t="str">
        <x:v>Local development</x:v>
      </x:c>
      <x:c r="E13" s="7" t="str">
        <x:v>Done</x:v>
      </x:c>
      <x:c r="F13" s="7" t="str">
        <x:v>https://github.com/walladanger/vw-cc-2014-rag/blob/codex/cc-workshop-offline/docs/automotive-rag/evidence/work/CC-T002-review.md</x:v>
      </x:c>
      <x:c r="G13" s="7" t="str">
        <x:v>Actual task acceptance evidence; source commit and immutable run artifacts retained.</x:v>
      </x:c>
      <x:c r="H13" s="3" t="str">
        <x:v>Review</x:v>
      </x:c>
      <x:c r="I13" s="3" t="str">
        <x:v>["CC-T002"]</x:v>
      </x:c>
      <x:c r="J13" s="3" t="str">
        <x:v>["CC-T002-S04"]</x:v>
      </x:c>
      <x:c r="K13" s="7" t="str">
        <x:v>d105927843d1a83592de374d75bb237be4995e644074aa29ca0148cdb0c88228</x:v>
      </x:c>
      <x:c r="L13" s="8" t="n">
        <x:v>46275.53426082176</x:v>
      </x:c>
      <x:c r="M13" s="7" t="str">
        <x:v>Windows x64; Python 3.12.14; resolved requirements-py312-win.lock; pytest 9.1.1</x:v>
      </x:c>
      <x:c r="N13" s="7" t="str"/>
      <x:c r="O13" s="7" t="str"/>
      <x:c r="P13" s="3" t="str">
        <x:v>Independent review and all required evidence resolve task acceptance; tracker and handover agree. Record only an existing commit.</x:v>
      </x:c>
      <x:c r="Q13" s="7" t="str">
        <x:v>Independent scoped review resolved R1-R3 and verified test isolation. No remaining T002 blocker. Final staged whitespace check passed after removing one extra trailing blank line.</x:v>
      </x:c>
      <x:c r="R13" s="7" t="str">
        <x:v>88934b493a27e67e77052fd064757278523b40be</x:v>
      </x:c>
      <x:c r="S13" s="7" t="str">
        <x:v>CC-RUN-T002-coordinator-final</x:v>
      </x:c>
      <x:c r="T13" s="7" t="str">
        <x:v>Coordinator</x:v>
      </x:c>
      <x:c r="U13" s="7" t="str"/>
    </x:row>
    <x:row r="14" ht="60" customHeight="1">
      <x:c r="A14" s="3" t="str">
        <x:v>CC-E013</x:v>
      </x:c>
      <x:c r="B14" s="3" t="str">
        <x:v>Garage isolation regression and request-scope fixtures</x:v>
      </x:c>
      <x:c r="C14" s="3" t="str">
        <x:v>Garage isolation regression and request-scope fixtures</x:v>
      </x:c>
      <x:c r="D14" s="3" t="str">
        <x:v>Isolated Windows development checkout</x:v>
      </x:c>
      <x:c r="E14" s="7" t="str">
        <x:v>Done</x:v>
      </x:c>
      <x:c r="F14" s="7" t="str">
        <x:v>work/evidence/cc-t003-direct-fix-focused.xml</x:v>
      </x:c>
      <x:c r="G14" s="7" t="str">
        <x:v>Resumed implementation evidence. Task closure still depends on review and any non-synthetic gates named in the plan.</x:v>
      </x:c>
      <x:c r="H14" s="3" t="str">
        <x:v>Execution</x:v>
      </x:c>
      <x:c r="I14" s="3" t="str">
        <x:v>["CC-T003"]</x:v>
      </x:c>
      <x:c r="J14" s="3" t="str">
        <x:v>["CC-T003-S01"]</x:v>
      </x:c>
      <x:c r="K14" s="7" t="str">
        <x:v>644f0d157fec7e2c5bdb58eadc9084a0598ab5c1474a3065a12a27c0b1d11200</x:v>
      </x:c>
      <x:c r="L14" s="8" t="n">
        <x:v>46277.97015940972</x:v>
      </x:c>
      <x:c r="M14" s="7" t="str">
        <x:v>Windows; Python 3.12.14; pytest 9.1.1; Git for Windows</x:v>
      </x:c>
      <x:c r="N14" s="7" t="str">
        <x:v>.venv/Scripts/python.exe -m pytest -q tests/acceptance/test_garage_isolation.py tests/acceptance/test_garage_request_scope.py tests/acceptance/test_runtime_contracts.py --junitxml=../evidence/cc-t003-direct-fix-focused.xml</x:v>
      </x:c>
      <x:c r="O14" s="7" t="n">
        <x:v>0</x:v>
      </x:c>
      <x:c r="P14" s="3" t="str">
        <x:v>Focused and full verification evidence is recorded without claiming unperformed hardware, model-load or pilot-source gates.</x:v>
      </x:c>
      <x:c r="Q14" s="7" t="str">
        <x:v>30 passed, 1 skipped, 24 subtests passed. Skip requires directory-link rights unavailable in this Windows account.</x:v>
      </x:c>
      <x:c r="R14" s="7" t="str">
        <x:v>933a39204a90ff60d26c96444de66dc379e31065</x:v>
      </x:c>
      <x:c r="S14" s="7" t="str">
        <x:v>CC-RUN-resume-direct-20260912</x:v>
      </x:c>
      <x:c r="T14" s="7" t="str">
        <x:v>Coordinator</x:v>
      </x:c>
      <x:c r="U14" s="7" t="str"/>
    </x:row>
    <x:row r="15" ht="54" customHeight="1">
      <x:c r="A15" s="3" t="str">
        <x:v>CC-E014</x:v>
      </x:c>
      <x:c r="B15" s="3" t="str">
        <x:v>Garage boundary implementation record</x:v>
      </x:c>
      <x:c r="C15" s="3" t="str">
        <x:v>Garage boundary implementation record</x:v>
      </x:c>
      <x:c r="D15" s="3" t="str">
        <x:v>Isolated Windows development checkout</x:v>
      </x:c>
      <x:c r="E15" s="7" t="str">
        <x:v>Done</x:v>
      </x:c>
      <x:c r="F15" s="7" t="str">
        <x:v>work/evidence/resume-direct-implementation-20260912.md</x:v>
      </x:c>
      <x:c r="G15" s="7" t="str">
        <x:v>Resumed implementation evidence. Task closure still depends on review and any non-synthetic gates named in the plan.</x:v>
      </x:c>
      <x:c r="H15" s="3" t="str">
        <x:v>Execution</x:v>
      </x:c>
      <x:c r="I15" s="3" t="str">
        <x:v>["CC-T003"]</x:v>
      </x:c>
      <x:c r="J15" s="3" t="str">
        <x:v>["CC-T003-S02"]</x:v>
      </x:c>
      <x:c r="K15" s="7" t="str">
        <x:v>574a228abb994a8033b853eb69e99822ae6ca3949ed013f2c3ba95e11dd30fbd</x:v>
      </x:c>
      <x:c r="L15" s="8" t="n">
        <x:v>46277.97015940972</x:v>
      </x:c>
      <x:c r="M15" s="7" t="str">
        <x:v>Windows; Python 3.12.14; pytest 9.1.1; Git for Windows</x:v>
      </x:c>
      <x:c r="N15" s="7" t="str"/>
      <x:c r="O15" s="7" t="n">
        <x:v>0</x:v>
      </x:c>
      <x:c r="P15" s="3" t="str">
        <x:v>Focused and full verification evidence is recorded without claiming unperformed hardware, model-load or pilot-source gates.</x:v>
      </x:c>
      <x:c r="Q15" s="7" t="str">
        <x:v>Garage HTTP scope, legacy global-library fail-closed behavior, manual-review opt-in default, path compatibility and transactional context validation were committed.</x:v>
      </x:c>
      <x:c r="R15" s="7" t="str">
        <x:v>933a39204a90ff60d26c96444de66dc379e31065</x:v>
      </x:c>
      <x:c r="S15" s="7" t="str">
        <x:v>CC-RUN-resume-direct-20260912</x:v>
      </x:c>
      <x:c r="T15" s="7" t="str">
        <x:v>Coordinator</x:v>
      </x:c>
      <x:c r="U15" s="7" t="str"/>
    </x:row>
    <x:row r="16" ht="60" customHeight="1">
      <x:c r="A16" s="3" t="str">
        <x:v>CC-E015</x:v>
      </x:c>
      <x:c r="B16" s="3" t="str">
        <x:v>Garage focused verification</x:v>
      </x:c>
      <x:c r="C16" s="3" t="str">
        <x:v>Garage focused verification</x:v>
      </x:c>
      <x:c r="D16" s="3" t="str">
        <x:v>Isolated Windows development checkout</x:v>
      </x:c>
      <x:c r="E16" s="7" t="str">
        <x:v>Done</x:v>
      </x:c>
      <x:c r="F16" s="7" t="str">
        <x:v>work/evidence/cc-t003-direct-fix-focused.xml</x:v>
      </x:c>
      <x:c r="G16" s="7" t="str">
        <x:v>Resumed implementation evidence. Task closure still depends on review and any non-synthetic gates named in the plan.</x:v>
      </x:c>
      <x:c r="H16" s="3" t="str">
        <x:v>Execution</x:v>
      </x:c>
      <x:c r="I16" s="3" t="str">
        <x:v>["CC-T003"]</x:v>
      </x:c>
      <x:c r="J16" s="3" t="str">
        <x:v>["CC-T003-S03"]</x:v>
      </x:c>
      <x:c r="K16" s="7" t="str">
        <x:v>644f0d157fec7e2c5bdb58eadc9084a0598ab5c1474a3065a12a27c0b1d11200</x:v>
      </x:c>
      <x:c r="L16" s="8" t="n">
        <x:v>46277.97015940972</x:v>
      </x:c>
      <x:c r="M16" s="7" t="str">
        <x:v>Windows; Python 3.12.14; pytest 9.1.1; Git for Windows</x:v>
      </x:c>
      <x:c r="N16" s="7" t="str">
        <x:v>.venv/Scripts/python.exe -m pytest -q tests/acceptance/test_garage_isolation.py tests/acceptance/test_garage_request_scope.py tests/acceptance/test_runtime_contracts.py --junitxml=../evidence/cc-t003-direct-fix-focused.xml</x:v>
      </x:c>
      <x:c r="O16" s="7" t="n">
        <x:v>0</x:v>
      </x:c>
      <x:c r="P16" s="3" t="str">
        <x:v>Focused and full verification evidence is recorded without claiming unperformed hardware, model-load or pilot-source gates.</x:v>
      </x:c>
      <x:c r="Q16" s="7" t="str">
        <x:v>30 passed, 1 skipped, 24 subtests passed.</x:v>
      </x:c>
      <x:c r="R16" s="7" t="str">
        <x:v>933a39204a90ff60d26c96444de66dc379e31065</x:v>
      </x:c>
      <x:c r="S16" s="7" t="str">
        <x:v>CC-RUN-resume-direct-20260912</x:v>
      </x:c>
      <x:c r="T16" s="7" t="str">
        <x:v>Coordinator</x:v>
      </x:c>
      <x:c r="U16" s="7" t="str"/>
    </x:row>
    <x:row r="17" ht="84" customHeight="1">
      <x:c r="A17" s="3" t="str">
        <x:v>CC-E016</x:v>
      </x:c>
      <x:c r="B17" s="3" t="str">
        <x:v>CC-T003-S04: Garage boundary review, reviewer fixes and handover</x:v>
      </x:c>
      <x:c r="C17" s="3" t="str">
        <x:v>Independent review identified active-Garage mismatch and JSON payload issues. Fixes were committed and verified.</x:v>
      </x:c>
      <x:c r="D17" s="3" t="str">
        <x:v>Isolated Windows development checkout</x:v>
      </x:c>
      <x:c r="E17" s="7" t="str">
        <x:v>Done</x:v>
      </x:c>
      <x:c r="F17" s="7" t="str">
        <x:v>work/evidence/reviewer-fixes-20260914.md</x:v>
      </x:c>
      <x:c r="G17" s="7" t="str">
        <x:v>Source provenance and scoped index work remain separate later tasks.</x:v>
      </x:c>
      <x:c r="H17" s="3" t="str">
        <x:v>Review</x:v>
      </x:c>
      <x:c r="I17" s="3" t="str">
        <x:v>["CC-T003"]</x:v>
      </x:c>
      <x:c r="J17" s="3" t="str">
        <x:v>["CC-T003-S04"]</x:v>
      </x:c>
      <x:c r="K17" s="7" t="str">
        <x:v>0ad9259030c68ff02a2e649a14548a927c8a77ac2668b6c95d2973b5eece1a30</x:v>
      </x:c>
      <x:c r="L17" s="8" t="n">
        <x:v>46279.506944444445</x:v>
      </x:c>
      <x:c r="M17" s="7" t="str">
        <x:v>Windows; Python 3.12.14; pytest 9.1.1; Git for Windows; Codex desktop</x:v>
      </x:c>
      <x:c r="N17" s="7" t="str">
        <x:v>.venv/Scripts/python.exe -m pytest -q tests/acceptance/test_garage_isolation.py tests/acceptance/test_garage_request_scope.py tests/acceptance/test_runtime_contracts.py tests/test_provider_conformance.py tests/acceptance/test_inference_settings.py --junitxml=../evidence/reviewer-fixes-focused-20260914.xml; .venv/Scripts/python.exe -m pytest -q --junitxml=../evidence/reviewer-fixes-full-suite-20260914.xml</x:v>
      </x:c>
      <x:c r="O17" s="7" t="n">
        <x:v>0</x:v>
      </x:c>
      <x:c r="P17" s="3" t="str">
        <x:v>Garage boundary reviewer findings fixed and verified without closing later source-provenance work.</x:v>
      </x:c>
      <x:c r="Q17" s="7" t="str">
        <x:v>Focused reviewer-fix suite passed with 81 passed, 1 skipped, 104 subtests; full suite passed with 150 passed, 1 skipped, 112 subtests.</x:v>
      </x:c>
      <x:c r="R17" s="7" t="str">
        <x:v>1e87202a7ed8923e270090aa87f22a4947a68bcc</x:v>
      </x:c>
      <x:c r="S17" s="7" t="str">
        <x:v>CC-RUN-reviewer-fixes-20260914</x:v>
      </x:c>
      <x:c r="T17" s="7" t="str">
        <x:v>Independent reviewer and Coordinator</x:v>
      </x:c>
      <x:c r="U17" s="7" t="str"/>
    </x:row>
    <x:row r="18" ht="96" customHeight="1">
      <x:c r="A18" s="3" t="str">
        <x:v>CC-E017</x:v>
      </x:c>
      <x:c r="B18" s="3" t="str">
        <x:v>CC-T004-S01: Regression fixtures and observed baseline gap</x:v>
      </x:c>
      <x:c r="C18" s="3" t="str">
        <x:v>Fixtures cover these expected behaviors and demonstrate the relevant baseline gap:
Missing metadata produces unknown applicability.
A wrong transmission, engine, market or PR code is excluded.
Historical vehicle descriptions do not become confirmed fields automatically.
A profile change makes dependent procedure approvals stale.</x:v>
      </x:c>
      <x:c r="D18" s="3" t="str">
        <x:v>Local development</x:v>
      </x:c>
      <x:c r="E18" s="7" t="str">
        <x:v>Not started</x:v>
      </x:c>
      <x:c r="F18" s="7" t="str"/>
      <x:c r="G18" s="7" t="str">
        <x:v>Planned evidence requirement; no result has been observed by this tracker builder.</x:v>
      </x:c>
      <x:c r="H18" s="3" t="str">
        <x:v>Execution</x:v>
      </x:c>
      <x:c r="I18" s="3" t="str">
        <x:v>["CC-T004"]</x:v>
      </x:c>
      <x:c r="J18" s="3" t="str">
        <x:v>["CC-T004-S01"]</x:v>
      </x:c>
      <x:c r="K18" s="7" t="str"/>
      <x:c r="L18" s="8" t="str"/>
      <x:c r="M18" s="7" t="str"/>
      <x:c r="N18" s="7" t="str"/>
      <x:c r="O18" s="7" t="str"/>
      <x:c r="P18" s="3" t="str">
        <x:v>python -m pytest -q tests/acceptance/test_vehicle_applicability.py
Confirm the relevant missing or incorrect behavior for the task's acceptance criteria; record the actual failing behavior and command result.</x:v>
      </x:c>
      <x:c r="Q18" s="7" t="str"/>
      <x:c r="R18" s="7" t="str"/>
      <x:c r="S18" s="7" t="str"/>
      <x:c r="T18" s="7" t="str"/>
      <x:c r="U18" s="7" t="str"/>
    </x:row>
    <x:row r="19" ht="84" customHeight="1">
      <x:c r="A19" s="3" t="str">
        <x:v>CC-E018</x:v>
      </x:c>
      <x:c r="B19" s="3" t="str">
        <x:v>CC-T004-S02: Implementation record</x:v>
      </x:c>
      <x:c r="C19" s="3" t="str">
        <x:v>Store vehicle configuration fields with individual confirmation evidence.
Add identification drafts.
Introduce applicability results: confirmed match, confirmed mismatch and unknown.
Replace legacy fail-open behavior on repair paths.
Record profile revisions and invalidate dependent results.</x:v>
      </x:c>
      <x:c r="D19" s="3" t="str">
        <x:v>Local development</x:v>
      </x:c>
      <x:c r="E19" s="7" t="str">
        <x:v>Not started</x:v>
      </x:c>
      <x:c r="F19" s="7" t="str"/>
      <x:c r="G19" s="7" t="str">
        <x:v>Planned evidence requirement; no result has been observed by this tracker builder.</x:v>
      </x:c>
      <x:c r="H19" s="3" t="str">
        <x:v>Design</x:v>
      </x:c>
      <x:c r="I19" s="3" t="str">
        <x:v>["CC-T004"]</x:v>
      </x:c>
      <x:c r="J19" s="3" t="str">
        <x:v>["CC-T004-S02"]</x:v>
      </x:c>
      <x:c r="K19" s="7" t="str"/>
      <x:c r="L19" s="8" t="str"/>
      <x:c r="M19" s="7" t="str"/>
      <x:c r="N19" s="7" t="str"/>
      <x:c r="O19" s="7" t="str"/>
      <x:c r="P19" s="3" t="str">
        <x:v>Implementation covers the task-specific behavior; no claim of verification is made until S03.</x:v>
      </x:c>
      <x:c r="Q19" s="7" t="str"/>
      <x:c r="R19" s="7" t="str"/>
      <x:c r="S19" s="7" t="str"/>
      <x:c r="T19" s="7" t="str"/>
      <x:c r="U19" s="7" t="str"/>
    </x:row>
    <x:row r="20" ht="72" customHeight="1">
      <x:c r="A20" s="3" t="str">
        <x:v>CC-E019</x:v>
      </x:c>
      <x:c r="B20" s="3" t="str">
        <x:v>CC-T004-S03: Acceptance verification</x:v>
      </x:c>
      <x:c r="C20" s="3" t="str">
        <x:v>Missing metadata produces unknown applicability.
A wrong transmission, engine, market or PR code is excluded.
Historical vehicle descriptions do not become confirmed fields automatically.
A profile change makes dependent procedure approvals stale.</x:v>
      </x:c>
      <x:c r="D20" s="3" t="str">
        <x:v>Local development</x:v>
      </x:c>
      <x:c r="E20" s="7" t="str">
        <x:v>Not started</x:v>
      </x:c>
      <x:c r="F20" s="7" t="str"/>
      <x:c r="G20" s="7" t="str">
        <x:v>Planned evidence requirement; no result has been observed by this tracker builder.</x:v>
      </x:c>
      <x:c r="H20" s="3" t="str">
        <x:v>Execution</x:v>
      </x:c>
      <x:c r="I20" s="3" t="str">
        <x:v>["CC-T004"]</x:v>
      </x:c>
      <x:c r="J20" s="3" t="str">
        <x:v>["CC-T004-S03"]</x:v>
      </x:c>
      <x:c r="K20" s="7" t="str"/>
      <x:c r="L20" s="8" t="str"/>
      <x:c r="M20" s="7" t="str"/>
      <x:c r="N20" s="7" t="str"/>
      <x:c r="O20" s="7" t="str"/>
      <x:c r="P20" s="3" t="str">
        <x:v>python -m pytest -q tests/acceptance/test_vehicle_applicability.py
All applicable acceptance criteria pass; separately record manual-source, hardware or clean-installation observations when required.</x:v>
      </x:c>
      <x:c r="Q20" s="7" t="str"/>
      <x:c r="R20" s="7" t="str"/>
      <x:c r="S20" s="7" t="str"/>
      <x:c r="T20" s="7" t="str"/>
      <x:c r="U20" s="7" t="str"/>
    </x:row>
    <x:row r="21" ht="54" customHeight="1">
      <x:c r="A21" s="3" t="str">
        <x:v>CC-E020</x:v>
      </x:c>
      <x:c r="B21" s="3" t="str">
        <x:v>CC-T004-S04: Review and handover</x:v>
      </x:c>
      <x:c r="C21" s="3" t="str">
        <x:v>Review findings resolved or explicitly recorded; evidence links valid; tracker consistent; commit field is blank or identifies an actual commit.</x:v>
      </x:c>
      <x:c r="D21" s="3" t="str">
        <x:v>Local development</x:v>
      </x:c>
      <x:c r="E21" s="7" t="str">
        <x:v>Not started</x:v>
      </x:c>
      <x:c r="F21" s="7" t="str"/>
      <x:c r="G21" s="7" t="str">
        <x:v>Planned evidence requirement; no result has been observed by this tracker builder.</x:v>
      </x:c>
      <x:c r="H21" s="3" t="str">
        <x:v>Review</x:v>
      </x:c>
      <x:c r="I21" s="3" t="str">
        <x:v>["CC-T004"]</x:v>
      </x:c>
      <x:c r="J21" s="3" t="str">
        <x:v>["CC-T004-S04"]</x:v>
      </x:c>
      <x:c r="K21" s="7" t="str"/>
      <x:c r="L21" s="8" t="str"/>
      <x:c r="M21" s="7" t="str"/>
      <x:c r="N21" s="7" t="str"/>
      <x:c r="O21" s="7" t="str"/>
      <x:c r="P21" s="3" t="str">
        <x:v>Independent review and all required evidence resolve task acceptance; tracker and handover agree. Record only an existing commit.</x:v>
      </x:c>
      <x:c r="Q21" s="7" t="str"/>
      <x:c r="R21" s="7" t="str"/>
      <x:c r="S21" s="7" t="str"/>
      <x:c r="T21" s="7" t="str"/>
      <x:c r="U21" s="7" t="str"/>
    </x:row>
    <x:row r="22" ht="96" customHeight="1">
      <x:c r="A22" s="3" t="str">
        <x:v>CC-E021</x:v>
      </x:c>
      <x:c r="B22" s="3" t="str">
        <x:v>CC-T005-S01: Regression fixtures and observed baseline gap</x:v>
      </x:c>
      <x:c r="C22" s="3" t="str">
        <x:v>Fixtures cover these expected behaviors and demonstrate the relevant baseline gap:
Duplicate identical files do not create conflicting originals.
Derivatives resolve to their canonical source.
Printed labels and physical page numbers remain distinct.
A source cannot become available to a Garage through filename similarity alone.</x:v>
      </x:c>
      <x:c r="D22" s="3" t="str">
        <x:v>Local development</x:v>
      </x:c>
      <x:c r="E22" s="7" t="str">
        <x:v>Not started</x:v>
      </x:c>
      <x:c r="F22" s="7" t="str"/>
      <x:c r="G22" s="7" t="str">
        <x:v>Planned evidence requirement; no result has been observed by this tracker builder.</x:v>
      </x:c>
      <x:c r="H22" s="3" t="str">
        <x:v>Execution</x:v>
      </x:c>
      <x:c r="I22" s="3" t="str">
        <x:v>["CC-T005"]</x:v>
      </x:c>
      <x:c r="J22" s="3" t="str">
        <x:v>["CC-T005-S01"]</x:v>
      </x:c>
      <x:c r="K22" s="7" t="str"/>
      <x:c r="L22" s="8" t="str"/>
      <x:c r="M22" s="7" t="str"/>
      <x:c r="N22" s="7" t="str"/>
      <x:c r="O22" s="7" t="str"/>
      <x:c r="P22" s="3" t="str">
        <x:v>python -m pytest -q tests/acceptance/test_source_provenance.py
Confirm the relevant missing or incorrect behavior for the task's acceptance criteria; record the actual failing behavior and command result.</x:v>
      </x:c>
      <x:c r="Q22" s="7" t="str"/>
      <x:c r="R22" s="7" t="str"/>
      <x:c r="S22" s="7" t="str"/>
      <x:c r="T22" s="7" t="str"/>
      <x:c r="U22" s="7" t="str"/>
    </x:row>
    <x:row r="23" ht="84" customHeight="1">
      <x:c r="A23" s="3" t="str">
        <x:v>CC-E022</x:v>
      </x:c>
      <x:c r="B23" s="3" t="str">
        <x:v>CC-T005-S02: Implementation record</x:v>
      </x:c>
      <x:c r="C23" s="3" t="str">
        <x:v>Register immutable originals by hash.
Separate source role, authority, applicability and access scope.
Represent pages, evidence spans and derivative relationships.
Add explicit page maps for transformed documents.
Include a versioned media-reference type that can later represent video timestamps.</x:v>
      </x:c>
      <x:c r="D23" s="3" t="str">
        <x:v>Local development</x:v>
      </x:c>
      <x:c r="E23" s="7" t="str">
        <x:v>Not started</x:v>
      </x:c>
      <x:c r="F23" s="7" t="str"/>
      <x:c r="G23" s="7" t="str">
        <x:v>Planned evidence requirement; no result has been observed by this tracker builder.</x:v>
      </x:c>
      <x:c r="H23" s="3" t="str">
        <x:v>Design</x:v>
      </x:c>
      <x:c r="I23" s="3" t="str">
        <x:v>["CC-T005"]</x:v>
      </x:c>
      <x:c r="J23" s="3" t="str">
        <x:v>["CC-T005-S02"]</x:v>
      </x:c>
      <x:c r="K23" s="7" t="str"/>
      <x:c r="L23" s="8" t="str"/>
      <x:c r="M23" s="7" t="str"/>
      <x:c r="N23" s="7" t="str"/>
      <x:c r="O23" s="7" t="str"/>
      <x:c r="P23" s="3" t="str">
        <x:v>Implementation covers the task-specific behavior; no claim of verification is made until S03.</x:v>
      </x:c>
      <x:c r="Q23" s="7" t="str"/>
      <x:c r="R23" s="7" t="str"/>
      <x:c r="S23" s="7" t="str"/>
      <x:c r="T23" s="7" t="str"/>
      <x:c r="U23" s="7" t="str"/>
    </x:row>
    <x:row r="24" ht="72" customHeight="1">
      <x:c r="A24" s="3" t="str">
        <x:v>CC-E023</x:v>
      </x:c>
      <x:c r="B24" s="3" t="str">
        <x:v>CC-T005-S03: Acceptance verification</x:v>
      </x:c>
      <x:c r="C24" s="3" t="str">
        <x:v>Duplicate identical files do not create conflicting originals.
Derivatives resolve to their canonical source.
Printed labels and physical page numbers remain distinct.
A source cannot become available to a Garage through filename similarity alone.</x:v>
      </x:c>
      <x:c r="D24" s="3" t="str">
        <x:v>Local development</x:v>
      </x:c>
      <x:c r="E24" s="7" t="str">
        <x:v>Not started</x:v>
      </x:c>
      <x:c r="F24" s="7" t="str"/>
      <x:c r="G24" s="7" t="str">
        <x:v>Planned evidence requirement; no result has been observed by this tracker builder.</x:v>
      </x:c>
      <x:c r="H24" s="3" t="str">
        <x:v>Execution</x:v>
      </x:c>
      <x:c r="I24" s="3" t="str">
        <x:v>["CC-T005"]</x:v>
      </x:c>
      <x:c r="J24" s="3" t="str">
        <x:v>["CC-T005-S03"]</x:v>
      </x:c>
      <x:c r="K24" s="7" t="str"/>
      <x:c r="L24" s="8" t="str"/>
      <x:c r="M24" s="7" t="str"/>
      <x:c r="N24" s="7" t="str"/>
      <x:c r="O24" s="7" t="str"/>
      <x:c r="P24" s="3" t="str">
        <x:v>python -m pytest -q tests/acceptance/test_source_provenance.py
All applicable acceptance criteria pass; separately record manual-source, hardware or clean-installation observations when required.</x:v>
      </x:c>
      <x:c r="Q24" s="7" t="str"/>
      <x:c r="R24" s="7" t="str"/>
      <x:c r="S24" s="7" t="str"/>
      <x:c r="T24" s="7" t="str"/>
      <x:c r="U24" s="7" t="str"/>
    </x:row>
    <x:row r="25" ht="54" customHeight="1">
      <x:c r="A25" s="3" t="str">
        <x:v>CC-E024</x:v>
      </x:c>
      <x:c r="B25" s="3" t="str">
        <x:v>CC-T005-S04: Review and handover</x:v>
      </x:c>
      <x:c r="C25" s="3" t="str">
        <x:v>Review findings resolved or explicitly recorded; evidence links valid; tracker consistent; commit field is blank or identifies an actual commit.</x:v>
      </x:c>
      <x:c r="D25" s="3" t="str">
        <x:v>Local development</x:v>
      </x:c>
      <x:c r="E25" s="7" t="str">
        <x:v>Not started</x:v>
      </x:c>
      <x:c r="F25" s="7" t="str"/>
      <x:c r="G25" s="7" t="str">
        <x:v>Planned evidence requirement; no result has been observed by this tracker builder.</x:v>
      </x:c>
      <x:c r="H25" s="3" t="str">
        <x:v>Review</x:v>
      </x:c>
      <x:c r="I25" s="3" t="str">
        <x:v>["CC-T005"]</x:v>
      </x:c>
      <x:c r="J25" s="3" t="str">
        <x:v>["CC-T005-S04"]</x:v>
      </x:c>
      <x:c r="K25" s="7" t="str"/>
      <x:c r="L25" s="8" t="str"/>
      <x:c r="M25" s="7" t="str"/>
      <x:c r="N25" s="7" t="str"/>
      <x:c r="O25" s="7" t="str"/>
      <x:c r="P25" s="3" t="str">
        <x:v>Independent review and all required evidence resolve task acceptance; tracker and handover agree. Record only an existing commit.</x:v>
      </x:c>
      <x:c r="Q25" s="7" t="str"/>
      <x:c r="R25" s="7" t="str"/>
      <x:c r="S25" s="7" t="str"/>
      <x:c r="T25" s="7" t="str"/>
      <x:c r="U25" s="7" t="str"/>
    </x:row>
    <x:row r="26" ht="84" customHeight="1">
      <x:c r="A26" s="3" t="str">
        <x:v>CC-E025</x:v>
      </x:c>
      <x:c r="B26" s="3" t="str">
        <x:v>CC-T006-S01: Regression fixtures and observed baseline gap</x:v>
      </x:c>
      <x:c r="C26" s="3" t="str">
        <x:v>Fixtures cover these expected behaviors and demonstrate the relevant baseline gap:
Restart during extraction or indexing resumes safely.
Repeated execution does not duplicate approved records.
A cancelled import does not publish partial evidence.
Disk-full and corrupt-input errors preserve existing usable data.</x:v>
      </x:c>
      <x:c r="D26" s="3" t="str">
        <x:v>Local development</x:v>
      </x:c>
      <x:c r="E26" s="7" t="str">
        <x:v>Not started</x:v>
      </x:c>
      <x:c r="F26" s="7" t="str"/>
      <x:c r="G26" s="7" t="str">
        <x:v>Planned evidence requirement; no result has been observed by this tracker builder.</x:v>
      </x:c>
      <x:c r="H26" s="3" t="str">
        <x:v>Execution</x:v>
      </x:c>
      <x:c r="I26" s="3" t="str">
        <x:v>["CC-T006"]</x:v>
      </x:c>
      <x:c r="J26" s="3" t="str">
        <x:v>["CC-T006-S01"]</x:v>
      </x:c>
      <x:c r="K26" s="7" t="str"/>
      <x:c r="L26" s="8" t="str"/>
      <x:c r="M26" s="7" t="str"/>
      <x:c r="N26" s="7" t="str"/>
      <x:c r="O26" s="7" t="str"/>
      <x:c r="P26" s="3" t="str">
        <x:v>python -m pytest -q tests/acceptance/test_import_recovery.py
Confirm the relevant missing or incorrect behavior for the task's acceptance criteria; record the actual failing behavior and command result.</x:v>
      </x:c>
      <x:c r="Q26" s="7" t="str"/>
      <x:c r="R26" s="7" t="str"/>
      <x:c r="S26" s="7" t="str"/>
      <x:c r="T26" s="7" t="str"/>
      <x:c r="U26" s="7" t="str"/>
    </x:row>
    <x:row r="27" ht="60" customHeight="1">
      <x:c r="A27" s="3" t="str">
        <x:v>CC-E026</x:v>
      </x:c>
      <x:c r="B27" s="3" t="str">
        <x:v>CC-T006-S02: Implementation record</x:v>
      </x:c>
      <x:c r="C27" s="3" t="str">
        <x:v>Persist job inputs, processing versions, stages and checkpoints.
Add cancellation, retries and quarantine.
Serialize publication to active indexes.
Keep extraction subprocess output separate from live database writes.</x:v>
      </x:c>
      <x:c r="D27" s="3" t="str">
        <x:v>Local development</x:v>
      </x:c>
      <x:c r="E27" s="7" t="str">
        <x:v>Not started</x:v>
      </x:c>
      <x:c r="F27" s="7" t="str"/>
      <x:c r="G27" s="7" t="str">
        <x:v>Planned evidence requirement; no result has been observed by this tracker builder.</x:v>
      </x:c>
      <x:c r="H27" s="3" t="str">
        <x:v>Design</x:v>
      </x:c>
      <x:c r="I27" s="3" t="str">
        <x:v>["CC-T006"]</x:v>
      </x:c>
      <x:c r="J27" s="3" t="str">
        <x:v>["CC-T006-S02"]</x:v>
      </x:c>
      <x:c r="K27" s="7" t="str"/>
      <x:c r="L27" s="8" t="str"/>
      <x:c r="M27" s="7" t="str"/>
      <x:c r="N27" s="7" t="str"/>
      <x:c r="O27" s="7" t="str"/>
      <x:c r="P27" s="3" t="str">
        <x:v>Implementation covers the task-specific behavior; no claim of verification is made until S03.</x:v>
      </x:c>
      <x:c r="Q27" s="7" t="str"/>
      <x:c r="R27" s="7" t="str"/>
      <x:c r="S27" s="7" t="str"/>
      <x:c r="T27" s="7" t="str"/>
      <x:c r="U27" s="7" t="str"/>
    </x:row>
    <x:row r="28" ht="60" customHeight="1">
      <x:c r="A28" s="3" t="str">
        <x:v>CC-E027</x:v>
      </x:c>
      <x:c r="B28" s="3" t="str">
        <x:v>CC-T006-S03: Acceptance verification</x:v>
      </x:c>
      <x:c r="C28" s="3" t="str">
        <x:v>Restart during extraction or indexing resumes safely.
Repeated execution does not duplicate approved records.
A cancelled import does not publish partial evidence.
Disk-full and corrupt-input errors preserve existing usable data.</x:v>
      </x:c>
      <x:c r="D28" s="3" t="str">
        <x:v>Local development</x:v>
      </x:c>
      <x:c r="E28" s="7" t="str">
        <x:v>Not started</x:v>
      </x:c>
      <x:c r="F28" s="7" t="str"/>
      <x:c r="G28" s="7" t="str">
        <x:v>Planned evidence requirement; no result has been observed by this tracker builder.</x:v>
      </x:c>
      <x:c r="H28" s="3" t="str">
        <x:v>Execution</x:v>
      </x:c>
      <x:c r="I28" s="3" t="str">
        <x:v>["CC-T006"]</x:v>
      </x:c>
      <x:c r="J28" s="3" t="str">
        <x:v>["CC-T006-S03"]</x:v>
      </x:c>
      <x:c r="K28" s="7" t="str"/>
      <x:c r="L28" s="8" t="str"/>
      <x:c r="M28" s="7" t="str"/>
      <x:c r="N28" s="7" t="str"/>
      <x:c r="O28" s="7" t="str"/>
      <x:c r="P28" s="3" t="str">
        <x:v>python -m pytest -q tests/acceptance/test_import_recovery.py
All applicable acceptance criteria pass; separately record manual-source, hardware or clean-installation observations when required.</x:v>
      </x:c>
      <x:c r="Q28" s="7" t="str"/>
      <x:c r="R28" s="7" t="str"/>
      <x:c r="S28" s="7" t="str"/>
      <x:c r="T28" s="7" t="str"/>
      <x:c r="U28" s="7" t="str"/>
    </x:row>
    <x:row r="29" ht="54" customHeight="1">
      <x:c r="A29" s="3" t="str">
        <x:v>CC-E028</x:v>
      </x:c>
      <x:c r="B29" s="3" t="str">
        <x:v>CC-T006-S04: Review and handover</x:v>
      </x:c>
      <x:c r="C29" s="3" t="str">
        <x:v>Review findings resolved or explicitly recorded; evidence links valid; tracker consistent; commit field is blank or identifies an actual commit.</x:v>
      </x:c>
      <x:c r="D29" s="3" t="str">
        <x:v>Local development</x:v>
      </x:c>
      <x:c r="E29" s="7" t="str">
        <x:v>Not started</x:v>
      </x:c>
      <x:c r="F29" s="7" t="str"/>
      <x:c r="G29" s="7" t="str">
        <x:v>Planned evidence requirement; no result has been observed by this tracker builder.</x:v>
      </x:c>
      <x:c r="H29" s="3" t="str">
        <x:v>Review</x:v>
      </x:c>
      <x:c r="I29" s="3" t="str">
        <x:v>["CC-T006"]</x:v>
      </x:c>
      <x:c r="J29" s="3" t="str">
        <x:v>["CC-T006-S04"]</x:v>
      </x:c>
      <x:c r="K29" s="7" t="str"/>
      <x:c r="L29" s="8" t="str"/>
      <x:c r="M29" s="7" t="str"/>
      <x:c r="N29" s="7" t="str"/>
      <x:c r="O29" s="7" t="str"/>
      <x:c r="P29" s="3" t="str">
        <x:v>Independent review and all required evidence resolve task acceptance; tracker and handover agree. Record only an existing commit.</x:v>
      </x:c>
      <x:c r="Q29" s="7" t="str"/>
      <x:c r="R29" s="7" t="str"/>
      <x:c r="S29" s="7" t="str"/>
      <x:c r="T29" s="7" t="str"/>
      <x:c r="U29" s="7" t="str"/>
    </x:row>
    <x:row r="30" ht="84" customHeight="1">
      <x:c r="A30" s="3" t="str">
        <x:v>CC-E029</x:v>
      </x:c>
      <x:c r="B30" s="3" t="str">
        <x:v>CC-T007-S01: Regression fixtures and observed baseline gap</x:v>
      </x:c>
      <x:c r="C30" s="3" t="str">
        <x:v>Fixtures cover these expected behaviors and demonstrate the relevant baseline gap:
Multi-page tables retain header and unit context.
Warning pages and replacement instructions are not silently discarded.
Poor OCR produces review work.
Source hashes and page counts reconcile with the import manifest.</x:v>
      </x:c>
      <x:c r="D30" s="3" t="str">
        <x:v>Local development</x:v>
      </x:c>
      <x:c r="E30" s="7" t="str">
        <x:v>Not started</x:v>
      </x:c>
      <x:c r="F30" s="7" t="str"/>
      <x:c r="G30" s="7" t="str">
        <x:v>Planned evidence requirement; no result has been observed by this tracker builder.</x:v>
      </x:c>
      <x:c r="H30" s="3" t="str">
        <x:v>Execution</x:v>
      </x:c>
      <x:c r="I30" s="3" t="str">
        <x:v>["CC-T007"]</x:v>
      </x:c>
      <x:c r="J30" s="3" t="str">
        <x:v>["CC-T007-S01"]</x:v>
      </x:c>
      <x:c r="K30" s="7" t="str"/>
      <x:c r="L30" s="8" t="str"/>
      <x:c r="M30" s="7" t="str"/>
      <x:c r="N30" s="7" t="str"/>
      <x:c r="O30" s="7" t="str"/>
      <x:c r="P30" s="3" t="str">
        <x:v>python -m pytest -q tests/acceptance/test_manual_ingestion.py
Confirm the relevant missing or incorrect behavior for the task's acceptance criteria; record the actual failing behavior and command result.</x:v>
      </x:c>
      <x:c r="Q30" s="7" t="str"/>
      <x:c r="R30" s="7" t="str"/>
      <x:c r="S30" s="7" t="str"/>
      <x:c r="T30" s="7" t="str"/>
      <x:c r="U30" s="7" t="str"/>
    </x:row>
    <x:row r="31" ht="72" customHeight="1">
      <x:c r="A31" s="3" t="str">
        <x:v>CC-E030</x:v>
      </x:c>
      <x:c r="B31" s="3" t="str">
        <x:v>CC-T007-S02: Implementation record</x:v>
      </x:c>
      <x:c r="C31" s="3" t="str">
        <x:v>Reuse suitable existing manual extraction and review utilities.
Preserve warnings, headings, units, footnotes and cross-references.
Associate chunks with parent sections and procedure context.
Add OCR quality and empty-page review rules.
Keep incomplete historical dataset records quarantined until reconciled.</x:v>
      </x:c>
      <x:c r="D31" s="3" t="str">
        <x:v>Local development</x:v>
      </x:c>
      <x:c r="E31" s="7" t="str">
        <x:v>Not started</x:v>
      </x:c>
      <x:c r="F31" s="7" t="str"/>
      <x:c r="G31" s="7" t="str">
        <x:v>Planned evidence requirement; no result has been observed by this tracker builder.</x:v>
      </x:c>
      <x:c r="H31" s="3" t="str">
        <x:v>Design</x:v>
      </x:c>
      <x:c r="I31" s="3" t="str">
        <x:v>["CC-T007"]</x:v>
      </x:c>
      <x:c r="J31" s="3" t="str">
        <x:v>["CC-T007-S02"]</x:v>
      </x:c>
      <x:c r="K31" s="7" t="str"/>
      <x:c r="L31" s="8" t="str"/>
      <x:c r="M31" s="7" t="str"/>
      <x:c r="N31" s="7" t="str"/>
      <x:c r="O31" s="7" t="str"/>
      <x:c r="P31" s="3" t="str">
        <x:v>Implementation covers the task-specific behavior; no claim of verification is made until S03.</x:v>
      </x:c>
      <x:c r="Q31" s="7" t="str"/>
      <x:c r="R31" s="7" t="str"/>
      <x:c r="S31" s="7" t="str"/>
      <x:c r="T31" s="7" t="str"/>
      <x:c r="U31" s="7" t="str"/>
    </x:row>
    <x:row r="32" ht="60" customHeight="1">
      <x:c r="A32" s="3" t="str">
        <x:v>CC-E031</x:v>
      </x:c>
      <x:c r="B32" s="3" t="str">
        <x:v>CC-T007-S03: Acceptance verification</x:v>
      </x:c>
      <x:c r="C32" s="3" t="str">
        <x:v>Multi-page tables retain header and unit context.
Warning pages and replacement instructions are not silently discarded.
Poor OCR produces review work.
Source hashes and page counts reconcile with the import manifest.</x:v>
      </x:c>
      <x:c r="D32" s="3" t="str">
        <x:v>Local development</x:v>
      </x:c>
      <x:c r="E32" s="7" t="str">
        <x:v>Not started</x:v>
      </x:c>
      <x:c r="F32" s="7" t="str"/>
      <x:c r="G32" s="7" t="str">
        <x:v>Planned evidence requirement; no result has been observed by this tracker builder.</x:v>
      </x:c>
      <x:c r="H32" s="3" t="str">
        <x:v>Execution</x:v>
      </x:c>
      <x:c r="I32" s="3" t="str">
        <x:v>["CC-T007"]</x:v>
      </x:c>
      <x:c r="J32" s="3" t="str">
        <x:v>["CC-T007-S03"]</x:v>
      </x:c>
      <x:c r="K32" s="7" t="str"/>
      <x:c r="L32" s="8" t="str"/>
      <x:c r="M32" s="7" t="str"/>
      <x:c r="N32" s="7" t="str"/>
      <x:c r="O32" s="7" t="str"/>
      <x:c r="P32" s="3" t="str">
        <x:v>python -m pytest -q tests/acceptance/test_manual_ingestion.py
All applicable acceptance criteria pass; separately record manual-source, hardware or clean-installation observations when required.</x:v>
      </x:c>
      <x:c r="Q32" s="7" t="str"/>
      <x:c r="R32" s="7" t="str"/>
      <x:c r="S32" s="7" t="str"/>
      <x:c r="T32" s="7" t="str"/>
      <x:c r="U32" s="7" t="str"/>
    </x:row>
    <x:row r="33" ht="54" customHeight="1">
      <x:c r="A33" s="3" t="str">
        <x:v>CC-E032</x:v>
      </x:c>
      <x:c r="B33" s="3" t="str">
        <x:v>CC-T007-S04: Review and handover</x:v>
      </x:c>
      <x:c r="C33" s="3" t="str">
        <x:v>Review findings resolved or explicitly recorded; evidence links valid; tracker consistent; commit field is blank or identifies an actual commit.</x:v>
      </x:c>
      <x:c r="D33" s="3" t="str">
        <x:v>Local development</x:v>
      </x:c>
      <x:c r="E33" s="7" t="str">
        <x:v>Not started</x:v>
      </x:c>
      <x:c r="F33" s="7" t="str"/>
      <x:c r="G33" s="7" t="str">
        <x:v>Planned evidence requirement; no result has been observed by this tracker builder.</x:v>
      </x:c>
      <x:c r="H33" s="3" t="str">
        <x:v>Review</x:v>
      </x:c>
      <x:c r="I33" s="3" t="str">
        <x:v>["CC-T007"]</x:v>
      </x:c>
      <x:c r="J33" s="3" t="str">
        <x:v>["CC-T007-S04"]</x:v>
      </x:c>
      <x:c r="K33" s="7" t="str"/>
      <x:c r="L33" s="8" t="str"/>
      <x:c r="M33" s="7" t="str"/>
      <x:c r="N33" s="7" t="str"/>
      <x:c r="O33" s="7" t="str"/>
      <x:c r="P33" s="3" t="str">
        <x:v>Independent review and all required evidence resolve task acceptance; tracker and handover agree. Record only an existing commit.</x:v>
      </x:c>
      <x:c r="Q33" s="7" t="str"/>
      <x:c r="R33" s="7" t="str"/>
      <x:c r="S33" s="7" t="str"/>
      <x:c r="T33" s="7" t="str"/>
      <x:c r="U33" s="7" t="str"/>
    </x:row>
    <x:row r="34" ht="84" customHeight="1">
      <x:c r="A34" s="3" t="str">
        <x:v>CC-E033</x:v>
      </x:c>
      <x:c r="B34" s="3" t="str">
        <x:v>CC-T008-S01: Regression fixtures and observed baseline gap</x:v>
      </x:c>
      <x:c r="C34" s="3" t="str">
        <x:v>Fixtures cover these expected behaviors and demonstrate the relevant baseline gap:
Every figure resolves to the correct original page.
A crop cannot substitute a figure from another source or revision.
Figure rotation and legend loss are detected in review fixtures.
Missing figures remain explicit.</x:v>
      </x:c>
      <x:c r="D34" s="3" t="str">
        <x:v>Local development</x:v>
      </x:c>
      <x:c r="E34" s="7" t="str">
        <x:v>Not started</x:v>
      </x:c>
      <x:c r="F34" s="7" t="str"/>
      <x:c r="G34" s="7" t="str">
        <x:v>Planned evidence requirement; no result has been observed by this tracker builder.</x:v>
      </x:c>
      <x:c r="H34" s="3" t="str">
        <x:v>Execution</x:v>
      </x:c>
      <x:c r="I34" s="3" t="str">
        <x:v>["CC-T008"]</x:v>
      </x:c>
      <x:c r="J34" s="3" t="str">
        <x:v>["CC-T008-S01"]</x:v>
      </x:c>
      <x:c r="K34" s="7" t="str"/>
      <x:c r="L34" s="8" t="str"/>
      <x:c r="M34" s="7" t="str"/>
      <x:c r="N34" s="7" t="str"/>
      <x:c r="O34" s="7" t="str"/>
      <x:c r="P34" s="3" t="str">
        <x:v>python -m pytest -q tests/acceptance/test_figure_provenance.py
Confirm the relevant missing or incorrect behavior for the task's acceptance criteria; record the actual failing behavior and command result.</x:v>
      </x:c>
      <x:c r="Q34" s="7" t="str"/>
      <x:c r="R34" s="7" t="str"/>
      <x:c r="S34" s="7" t="str"/>
      <x:c r="T34" s="7" t="str"/>
      <x:c r="U34" s="7" t="str"/>
    </x:row>
    <x:row r="35" ht="60" customHeight="1">
      <x:c r="A35" s="3" t="str">
        <x:v>CC-E034</x:v>
      </x:c>
      <x:c r="B35" s="3" t="str">
        <x:v>CC-T008-S02: Implementation record</x:v>
      </x:c>
      <x:c r="C35" s="3" t="str">
        <x:v>Register page renders and figure crops.
Record coordinates, image hashes, captions and legends.
Preserve orientation.
Track whether a crop is adequate for its intended procedure step.</x:v>
      </x:c>
      <x:c r="D35" s="3" t="str">
        <x:v>Local development</x:v>
      </x:c>
      <x:c r="E35" s="7" t="str">
        <x:v>Not started</x:v>
      </x:c>
      <x:c r="F35" s="7" t="str"/>
      <x:c r="G35" s="7" t="str">
        <x:v>Planned evidence requirement; no result has been observed by this tracker builder.</x:v>
      </x:c>
      <x:c r="H35" s="3" t="str">
        <x:v>Design</x:v>
      </x:c>
      <x:c r="I35" s="3" t="str">
        <x:v>["CC-T008"]</x:v>
      </x:c>
      <x:c r="J35" s="3" t="str">
        <x:v>["CC-T008-S02"]</x:v>
      </x:c>
      <x:c r="K35" s="7" t="str"/>
      <x:c r="L35" s="8" t="str"/>
      <x:c r="M35" s="7" t="str"/>
      <x:c r="N35" s="7" t="str"/>
      <x:c r="O35" s="7" t="str"/>
      <x:c r="P35" s="3" t="str">
        <x:v>Implementation covers the task-specific behavior; no claim of verification is made until S03.</x:v>
      </x:c>
      <x:c r="Q35" s="7" t="str"/>
      <x:c r="R35" s="7" t="str"/>
      <x:c r="S35" s="7" t="str"/>
      <x:c r="T35" s="7" t="str"/>
      <x:c r="U35" s="7" t="str"/>
    </x:row>
    <x:row r="36" ht="60" customHeight="1">
      <x:c r="A36" s="3" t="str">
        <x:v>CC-E035</x:v>
      </x:c>
      <x:c r="B36" s="3" t="str">
        <x:v>CC-T008-S03: Acceptance verification</x:v>
      </x:c>
      <x:c r="C36" s="3" t="str">
        <x:v>Every figure resolves to the correct original page.
A crop cannot substitute a figure from another source or revision.
Figure rotation and legend loss are detected in review fixtures.
Missing figures remain explicit.</x:v>
      </x:c>
      <x:c r="D36" s="3" t="str">
        <x:v>Local development</x:v>
      </x:c>
      <x:c r="E36" s="7" t="str">
        <x:v>Not started</x:v>
      </x:c>
      <x:c r="F36" s="7" t="str"/>
      <x:c r="G36" s="7" t="str">
        <x:v>Planned evidence requirement; no result has been observed by this tracker builder.</x:v>
      </x:c>
      <x:c r="H36" s="3" t="str">
        <x:v>Execution</x:v>
      </x:c>
      <x:c r="I36" s="3" t="str">
        <x:v>["CC-T008"]</x:v>
      </x:c>
      <x:c r="J36" s="3" t="str">
        <x:v>["CC-T008-S03"]</x:v>
      </x:c>
      <x:c r="K36" s="7" t="str"/>
      <x:c r="L36" s="8" t="str"/>
      <x:c r="M36" s="7" t="str"/>
      <x:c r="N36" s="7" t="str"/>
      <x:c r="O36" s="7" t="str"/>
      <x:c r="P36" s="3" t="str">
        <x:v>python -m pytest -q tests/acceptance/test_figure_provenance.py
All applicable acceptance criteria pass; separately record manual-source, hardware or clean-installation observations when required.</x:v>
      </x:c>
      <x:c r="Q36" s="7" t="str"/>
      <x:c r="R36" s="7" t="str"/>
      <x:c r="S36" s="7" t="str"/>
      <x:c r="T36" s="7" t="str"/>
      <x:c r="U36" s="7" t="str"/>
    </x:row>
    <x:row r="37" ht="54" customHeight="1">
      <x:c r="A37" s="3" t="str">
        <x:v>CC-E036</x:v>
      </x:c>
      <x:c r="B37" s="3" t="str">
        <x:v>CC-T008-S04: Review and handover</x:v>
      </x:c>
      <x:c r="C37" s="3" t="str">
        <x:v>Review findings resolved or explicitly recorded; evidence links valid; tracker consistent; commit field is blank or identifies an actual commit.</x:v>
      </x:c>
      <x:c r="D37" s="3" t="str">
        <x:v>Local development</x:v>
      </x:c>
      <x:c r="E37" s="7" t="str">
        <x:v>Not started</x:v>
      </x:c>
      <x:c r="F37" s="7" t="str"/>
      <x:c r="G37" s="7" t="str">
        <x:v>Planned evidence requirement; no result has been observed by this tracker builder.</x:v>
      </x:c>
      <x:c r="H37" s="3" t="str">
        <x:v>Review</x:v>
      </x:c>
      <x:c r="I37" s="3" t="str">
        <x:v>["CC-T008"]</x:v>
      </x:c>
      <x:c r="J37" s="3" t="str">
        <x:v>["CC-T008-S04"]</x:v>
      </x:c>
      <x:c r="K37" s="7" t="str"/>
      <x:c r="L37" s="8" t="str"/>
      <x:c r="M37" s="7" t="str"/>
      <x:c r="N37" s="7" t="str"/>
      <x:c r="O37" s="7" t="str"/>
      <x:c r="P37" s="3" t="str">
        <x:v>Independent review and all required evidence resolve task acceptance; tracker and handover agree. Record only an existing commit.</x:v>
      </x:c>
      <x:c r="Q37" s="7" t="str"/>
      <x:c r="R37" s="7" t="str"/>
      <x:c r="S37" s="7" t="str"/>
      <x:c r="T37" s="7" t="str"/>
      <x:c r="U37" s="7" t="str"/>
    </x:row>
    <x:row r="38" ht="54" customHeight="1">
      <x:c r="A38" s="3" t="str">
        <x:v>CC-E037</x:v>
      </x:c>
      <x:c r="B38" s="3" t="str">
        <x:v>Provider conformance regression coverage</x:v>
      </x:c>
      <x:c r="C38" s="3" t="str">
        <x:v>Provider conformance regression coverage</x:v>
      </x:c>
      <x:c r="D38" s="3" t="str">
        <x:v>Isolated Windows development checkout</x:v>
      </x:c>
      <x:c r="E38" s="7" t="str">
        <x:v>Done</x:v>
      </x:c>
      <x:c r="F38" s="7" t="str">
        <x:v>work/evidence/cc-t009-provider-focused-3.xml</x:v>
      </x:c>
      <x:c r="G38" s="7" t="str">
        <x:v>Resumed implementation evidence. Task closure still depends on review and any non-synthetic gates named in the plan.</x:v>
      </x:c>
      <x:c r="H38" s="3" t="str">
        <x:v>Execution</x:v>
      </x:c>
      <x:c r="I38" s="3" t="str">
        <x:v>["CC-T009"]</x:v>
      </x:c>
      <x:c r="J38" s="3" t="str">
        <x:v>["CC-T009-S01"]</x:v>
      </x:c>
      <x:c r="K38" s="7" t="str">
        <x:v>93cd1df77083e1c81a4e5ac0df4e6def5a7dcf336afc772e6c8309107ae5f0c2</x:v>
      </x:c>
      <x:c r="L38" s="8" t="n">
        <x:v>46277.97015940972</x:v>
      </x:c>
      <x:c r="M38" s="7" t="str">
        <x:v>Windows; Python 3.12.14; pytest 9.1.1; Git for Windows</x:v>
      </x:c>
      <x:c r="N38" s="7" t="str">
        <x:v>.venv/Scripts/python.exe -m pytest -q tests/test_provider_conformance.py --junitxml=../evidence/cc-t009-provider-focused-3.xml</x:v>
      </x:c>
      <x:c r="O38" s="7" t="n">
        <x:v>0</x:v>
      </x:c>
      <x:c r="P38" s="3" t="str">
        <x:v>Focused and full verification evidence is recorded without claiming unperformed hardware, model-load or pilot-source gates.</x:v>
      </x:c>
      <x:c r="Q38" s="7" t="str">
        <x:v>32 passed, 72 subtests passed.</x:v>
      </x:c>
      <x:c r="R38" s="7" t="str">
        <x:v>933a39204a90ff60d26c96444de66dc379e31065</x:v>
      </x:c>
      <x:c r="S38" s="7" t="str">
        <x:v>CC-RUN-resume-direct-20260912</x:v>
      </x:c>
      <x:c r="T38" s="7" t="str">
        <x:v>Coordinator</x:v>
      </x:c>
      <x:c r="U38" s="7" t="str"/>
    </x:row>
    <x:row r="39" ht="54" customHeight="1">
      <x:c r="A39" s="3" t="str">
        <x:v>CC-E038</x:v>
      </x:c>
      <x:c r="B39" s="3" t="str">
        <x:v>Provider contract implementation record</x:v>
      </x:c>
      <x:c r="C39" s="3" t="str">
        <x:v>Provider contract implementation record</x:v>
      </x:c>
      <x:c r="D39" s="3" t="str">
        <x:v>Isolated Windows development checkout</x:v>
      </x:c>
      <x:c r="E39" s="7" t="str">
        <x:v>Done</x:v>
      </x:c>
      <x:c r="F39" s="7" t="str">
        <x:v>work/evidence/resume-direct-implementation-20260912.md</x:v>
      </x:c>
      <x:c r="G39" s="7" t="str">
        <x:v>Resumed implementation evidence. Task closure still depends on review and any non-synthetic gates named in the plan.</x:v>
      </x:c>
      <x:c r="H39" s="3" t="str">
        <x:v>Execution</x:v>
      </x:c>
      <x:c r="I39" s="3" t="str">
        <x:v>["CC-T009"]</x:v>
      </x:c>
      <x:c r="J39" s="3" t="str">
        <x:v>["CC-T009-S02"]</x:v>
      </x:c>
      <x:c r="K39" s="7" t="str">
        <x:v>574a228abb994a8033b853eb69e99822ae6ca3949ed013f2c3ba95e11dd30fbd</x:v>
      </x:c>
      <x:c r="L39" s="8" t="n">
        <x:v>46277.97015940972</x:v>
      </x:c>
      <x:c r="M39" s="7" t="str">
        <x:v>Windows; Python 3.12.14; pytest 9.1.1; Git for Windows</x:v>
      </x:c>
      <x:c r="N39" s="7" t="str"/>
      <x:c r="O39" s="7" t="n">
        <x:v>0</x:v>
      </x:c>
      <x:c r="P39" s="3" t="str">
        <x:v>Focused and full verification evidence is recorded without claiming unperformed hardware, model-load or pilot-source gates.</x:v>
      </x:c>
      <x:c r="Q39" s="7" t="str">
        <x:v>Endpoint validation, probes, JSON schema, streams, cancellation, images, limits and error normalization were committed.</x:v>
      </x:c>
      <x:c r="R39" s="7" t="str">
        <x:v>933a39204a90ff60d26c96444de66dc379e31065</x:v>
      </x:c>
      <x:c r="S39" s="7" t="str">
        <x:v>CC-RUN-resume-direct-20260912</x:v>
      </x:c>
      <x:c r="T39" s="7" t="str">
        <x:v>Coordinator</x:v>
      </x:c>
      <x:c r="U39" s="7" t="str"/>
    </x:row>
    <x:row r="40" ht="54" customHeight="1">
      <x:c r="A40" s="3" t="str">
        <x:v>CC-E039</x:v>
      </x:c>
      <x:c r="B40" s="3" t="str">
        <x:v>Provider focused verification</x:v>
      </x:c>
      <x:c r="C40" s="3" t="str">
        <x:v>Provider focused verification</x:v>
      </x:c>
      <x:c r="D40" s="3" t="str">
        <x:v>Isolated Windows development checkout</x:v>
      </x:c>
      <x:c r="E40" s="7" t="str">
        <x:v>Done</x:v>
      </x:c>
      <x:c r="F40" s="7" t="str">
        <x:v>work/evidence/cc-t009-provider-focused-3.xml</x:v>
      </x:c>
      <x:c r="G40" s="7" t="str">
        <x:v>Resumed implementation evidence. Task closure still depends on review and any non-synthetic gates named in the plan.</x:v>
      </x:c>
      <x:c r="H40" s="3" t="str">
        <x:v>Execution</x:v>
      </x:c>
      <x:c r="I40" s="3" t="str">
        <x:v>["CC-T009"]</x:v>
      </x:c>
      <x:c r="J40" s="3" t="str">
        <x:v>["CC-T009-S03"]</x:v>
      </x:c>
      <x:c r="K40" s="7" t="str">
        <x:v>93cd1df77083e1c81a4e5ac0df4e6def5a7dcf336afc772e6c8309107ae5f0c2</x:v>
      </x:c>
      <x:c r="L40" s="8" t="n">
        <x:v>46277.97015940972</x:v>
      </x:c>
      <x:c r="M40" s="7" t="str">
        <x:v>Windows; Python 3.12.14; pytest 9.1.1; Git for Windows</x:v>
      </x:c>
      <x:c r="N40" s="7" t="str">
        <x:v>.venv/Scripts/python.exe -m pytest -q tests/test_provider_conformance.py --junitxml=../evidence/cc-t009-provider-focused-3.xml</x:v>
      </x:c>
      <x:c r="O40" s="7" t="n">
        <x:v>0</x:v>
      </x:c>
      <x:c r="P40" s="3" t="str">
        <x:v>Focused and full verification evidence is recorded without claiming unperformed hardware, model-load or pilot-source gates.</x:v>
      </x:c>
      <x:c r="Q40" s="7" t="str">
        <x:v>32 passed, 72 subtests passed.</x:v>
      </x:c>
      <x:c r="R40" s="7" t="str">
        <x:v>933a39204a90ff60d26c96444de66dc379e31065</x:v>
      </x:c>
      <x:c r="S40" s="7" t="str">
        <x:v>CC-RUN-resume-direct-20260912</x:v>
      </x:c>
      <x:c r="T40" s="7" t="str">
        <x:v>Coordinator</x:v>
      </x:c>
      <x:c r="U40" s="7" t="str"/>
    </x:row>
    <x:row r="41" ht="84" customHeight="1">
      <x:c r="A41" s="3" t="str">
        <x:v>CC-E040</x:v>
      </x:c>
      <x:c r="B41" s="3" t="str">
        <x:v>CC-T009-S04: Provider contract review, reviewer fixes and handover</x:v>
      </x:c>
      <x:c r="C41" s="3" t="str">
        <x:v>Independent review identified provider cancellation, schema probe, stream bound, UTF-8 and legacy-profile issues. Fixes were committed and verified.</x:v>
      </x:c>
      <x:c r="D41" s="3" t="str">
        <x:v>Isolated Windows development checkout</x:v>
      </x:c>
      <x:c r="E41" s="7" t="str">
        <x:v>Done</x:v>
      </x:c>
      <x:c r="F41" s="7" t="str">
        <x:v>work/evidence/reviewer-fixes-20260914.md</x:v>
      </x:c>
      <x:c r="G41" s="7" t="str">
        <x:v>Real llama.cpp/model runtime certification remains separate in CC-T010 and CC-T011.</x:v>
      </x:c>
      <x:c r="H41" s="3" t="str">
        <x:v>Review</x:v>
      </x:c>
      <x:c r="I41" s="3" t="str">
        <x:v>["CC-T009"]</x:v>
      </x:c>
      <x:c r="J41" s="3" t="str">
        <x:v>["CC-T009-S04"]</x:v>
      </x:c>
      <x:c r="K41" s="7" t="str">
        <x:v>0ad9259030c68ff02a2e649a14548a927c8a77ac2668b6c95d2973b5eece1a30</x:v>
      </x:c>
      <x:c r="L41" s="8" t="n">
        <x:v>46279.506944444445</x:v>
      </x:c>
      <x:c r="M41" s="7" t="str">
        <x:v>Windows; Python 3.12.14; pytest 9.1.1; Git for Windows; Codex desktop</x:v>
      </x:c>
      <x:c r="N41" s="7" t="str">
        <x:v>.venv/Scripts/python.exe -m pytest -q tests/acceptance/test_garage_isolation.py tests/acceptance/test_garage_request_scope.py tests/acceptance/test_runtime_contracts.py tests/test_provider_conformance.py tests/acceptance/test_inference_settings.py --junitxml=../evidence/reviewer-fixes-focused-20260914.xml; .venv/Scripts/python.exe -m pytest -q --junitxml=../evidence/reviewer-fixes-full-suite-20260914.xml</x:v>
      </x:c>
      <x:c r="O41" s="7" t="n">
        <x:v>0</x:v>
      </x:c>
      <x:c r="P41" s="3" t="str">
        <x:v>Provider-contract reviewer findings fixed and verified without claiming real model/runtime gates.</x:v>
      </x:c>
      <x:c r="Q41" s="7" t="str">
        <x:v>Focused reviewer-fix suite passed with 81 passed, 1 skipped, 104 subtests; full suite passed with 150 passed, 1 skipped, 112 subtests.</x:v>
      </x:c>
      <x:c r="R41" s="7" t="str">
        <x:v>1e87202a7ed8923e270090aa87f22a4947a68bcc</x:v>
      </x:c>
      <x:c r="S41" s="7" t="str">
        <x:v>CC-RUN-reviewer-fixes-20260914</x:v>
      </x:c>
      <x:c r="T41" s="7" t="str">
        <x:v>Independent reviewer and Coordinator</x:v>
      </x:c>
      <x:c r="U41" s="7" t="str"/>
    </x:row>
    <x:row r="42" ht="96" customHeight="1">
      <x:c r="A42" s="3" t="str">
        <x:v>CC-E041</x:v>
      </x:c>
      <x:c r="B42" s="3" t="str">
        <x:v>CC-T010-S01: Regression fixtures and observed baseline gap</x:v>
      </x:c>
      <x:c r="C42" s="3" t="str">
        <x:v>Fixtures cover these expected behaviors and demonstrate the relevant baseline gap:
Missing or mismatched projectors prevent vision activation.
Corrupt or partial model files are rejected.
Offline import requires no Hub connection.
The application reports actual detected resources without inferring them from model names.</x:v>
      </x:c>
      <x:c r="D42" s="3" t="str">
        <x:v>Local development</x:v>
      </x:c>
      <x:c r="E42" s="7" t="str">
        <x:v>Not started</x:v>
      </x:c>
      <x:c r="F42" s="7" t="str"/>
      <x:c r="G42" s="7" t="str">
        <x:v>Planned evidence requirement; no result has been observed by this tracker builder.</x:v>
      </x:c>
      <x:c r="H42" s="3" t="str">
        <x:v>Execution</x:v>
      </x:c>
      <x:c r="I42" s="3" t="str">
        <x:v>["CC-T010"]</x:v>
      </x:c>
      <x:c r="J42" s="3" t="str">
        <x:v>["CC-T010-S01"]</x:v>
      </x:c>
      <x:c r="K42" s="7" t="str"/>
      <x:c r="L42" s="8" t="str"/>
      <x:c r="M42" s="7" t="str"/>
      <x:c r="N42" s="7" t="str"/>
      <x:c r="O42" s="7" t="str"/>
      <x:c r="P42" s="3" t="str">
        <x:v>python -m pytest -q tests/acceptance/test_model_assets.py
Confirm the relevant missing or incorrect behavior for the task's acceptance criteria; record the actual failing behavior and command result.</x:v>
      </x:c>
      <x:c r="Q42" s="7" t="str"/>
      <x:c r="R42" s="7" t="str"/>
      <x:c r="S42" s="7" t="str"/>
      <x:c r="T42" s="7" t="str"/>
      <x:c r="U42" s="7" t="str"/>
    </x:row>
    <x:row r="43" ht="72" customHeight="1">
      <x:c r="A43" s="3" t="str">
        <x:v>CC-E042</x:v>
      </x:c>
      <x:c r="B43" s="3" t="str">
        <x:v>CC-T010-S02: Implementation record</x:v>
      </x:c>
      <x:c r="C43" s="3" t="str">
        <x:v>Add versioned model manifests.
Support explicit download and offline import.
Record hashes, revisions, licenses and required vision assets.
Discover usable devices through the selected runtime.
Define compact, single-GPU and multiple-GPU configuration profiles.</x:v>
      </x:c>
      <x:c r="D43" s="3" t="str">
        <x:v>Local development</x:v>
      </x:c>
      <x:c r="E43" s="7" t="str">
        <x:v>Not started</x:v>
      </x:c>
      <x:c r="F43" s="7" t="str"/>
      <x:c r="G43" s="7" t="str">
        <x:v>Planned evidence requirement; no result has been observed by this tracker builder.</x:v>
      </x:c>
      <x:c r="H43" s="3" t="str">
        <x:v>Design</x:v>
      </x:c>
      <x:c r="I43" s="3" t="str">
        <x:v>["CC-T010"]</x:v>
      </x:c>
      <x:c r="J43" s="3" t="str">
        <x:v>["CC-T010-S02"]</x:v>
      </x:c>
      <x:c r="K43" s="7" t="str"/>
      <x:c r="L43" s="8" t="str"/>
      <x:c r="M43" s="7" t="str"/>
      <x:c r="N43" s="7" t="str"/>
      <x:c r="O43" s="7" t="str"/>
      <x:c r="P43" s="3" t="str">
        <x:v>Implementation covers the task-specific behavior; no claim of verification is made until S03.</x:v>
      </x:c>
      <x:c r="Q43" s="7" t="str"/>
      <x:c r="R43" s="7" t="str"/>
      <x:c r="S43" s="7" t="str"/>
      <x:c r="T43" s="7" t="str"/>
      <x:c r="U43" s="7" t="str"/>
    </x:row>
    <x:row r="44" ht="72" customHeight="1">
      <x:c r="A44" s="3" t="str">
        <x:v>CC-E043</x:v>
      </x:c>
      <x:c r="B44" s="3" t="str">
        <x:v>CC-T010-S03: Acceptance verification</x:v>
      </x:c>
      <x:c r="C44" s="3" t="str">
        <x:v>Missing or mismatched projectors prevent vision activation.
Corrupt or partial model files are rejected.
Offline import requires no Hub connection.
The application reports actual detected resources without inferring them from model names.</x:v>
      </x:c>
      <x:c r="D44" s="3" t="str">
        <x:v>Local development</x:v>
      </x:c>
      <x:c r="E44" s="7" t="str">
        <x:v>Not started</x:v>
      </x:c>
      <x:c r="F44" s="7" t="str"/>
      <x:c r="G44" s="7" t="str">
        <x:v>Planned evidence requirement; no result has been observed by this tracker builder.</x:v>
      </x:c>
      <x:c r="H44" s="3" t="str">
        <x:v>Execution</x:v>
      </x:c>
      <x:c r="I44" s="3" t="str">
        <x:v>["CC-T010"]</x:v>
      </x:c>
      <x:c r="J44" s="3" t="str">
        <x:v>["CC-T010-S03"]</x:v>
      </x:c>
      <x:c r="K44" s="7" t="str"/>
      <x:c r="L44" s="8" t="str"/>
      <x:c r="M44" s="7" t="str"/>
      <x:c r="N44" s="7" t="str"/>
      <x:c r="O44" s="7" t="str"/>
      <x:c r="P44" s="3" t="str">
        <x:v>python -m pytest -q tests/acceptance/test_model_assets.py
All applicable acceptance criteria pass; separately record manual-source, hardware or clean-installation observations when required.</x:v>
      </x:c>
      <x:c r="Q44" s="7" t="str"/>
      <x:c r="R44" s="7" t="str"/>
      <x:c r="S44" s="7" t="str"/>
      <x:c r="T44" s="7" t="str"/>
      <x:c r="U44" s="7" t="str"/>
    </x:row>
    <x:row r="45" ht="54" customHeight="1">
      <x:c r="A45" s="3" t="str">
        <x:v>CC-E044</x:v>
      </x:c>
      <x:c r="B45" s="3" t="str">
        <x:v>CC-T010-S04: Review and handover</x:v>
      </x:c>
      <x:c r="C45" s="3" t="str">
        <x:v>Review findings resolved or explicitly recorded; evidence links valid; tracker consistent; commit field is blank or identifies an actual commit.</x:v>
      </x:c>
      <x:c r="D45" s="3" t="str">
        <x:v>Local development</x:v>
      </x:c>
      <x:c r="E45" s="7" t="str">
        <x:v>Not started</x:v>
      </x:c>
      <x:c r="F45" s="7" t="str"/>
      <x:c r="G45" s="7" t="str">
        <x:v>Planned evidence requirement; no result has been observed by this tracker builder.</x:v>
      </x:c>
      <x:c r="H45" s="3" t="str">
        <x:v>Review</x:v>
      </x:c>
      <x:c r="I45" s="3" t="str">
        <x:v>["CC-T010"]</x:v>
      </x:c>
      <x:c r="J45" s="3" t="str">
        <x:v>["CC-T010-S04"]</x:v>
      </x:c>
      <x:c r="K45" s="7" t="str"/>
      <x:c r="L45" s="8" t="str"/>
      <x:c r="M45" s="7" t="str"/>
      <x:c r="N45" s="7" t="str"/>
      <x:c r="O45" s="7" t="str"/>
      <x:c r="P45" s="3" t="str">
        <x:v>Independent review and all required evidence resolve task acceptance; tracker and handover agree. Record only an existing commit.</x:v>
      </x:c>
      <x:c r="Q45" s="7" t="str"/>
      <x:c r="R45" s="7" t="str"/>
      <x:c r="S45" s="7" t="str"/>
      <x:c r="T45" s="7" t="str"/>
      <x:c r="U45" s="7" t="str"/>
    </x:row>
    <x:row r="46" ht="96" customHeight="1">
      <x:c r="A46" s="3" t="str">
        <x:v>CC-E045</x:v>
      </x:c>
      <x:c r="B46" s="3" t="str">
        <x:v>CC-T011-S01: Regression fixtures and observed baseline gap</x:v>
      </x:c>
      <x:c r="C46" s="3" t="str">
        <x:v>Fixtures cover these expected behaviors and demonstrate the relevant baseline gap:
Fresh launch does not require Ollama or a separately installed Python.
An unrelated process is never terminated.
A child crash produces a recoverable error.
Closing the application follows the selected shutdown policy.
Repeated launches do not create orphaned model processes.</x:v>
      </x:c>
      <x:c r="D46" s="3" t="str">
        <x:v>Local development; actual supported hardware for hardware gates</x:v>
      </x:c>
      <x:c r="E46" s="7" t="str">
        <x:v>Not started</x:v>
      </x:c>
      <x:c r="F46" s="7" t="str"/>
      <x:c r="G46" s="7" t="str">
        <x:v>Planned evidence requirement; no result has been observed by this tracker builder.</x:v>
      </x:c>
      <x:c r="H46" s="3" t="str">
        <x:v>Execution</x:v>
      </x:c>
      <x:c r="I46" s="3" t="str">
        <x:v>["CC-T011"]</x:v>
      </x:c>
      <x:c r="J46" s="3" t="str">
        <x:v>["CC-T011-S01"]</x:v>
      </x:c>
      <x:c r="K46" s="7" t="str"/>
      <x:c r="L46" s="8" t="str"/>
      <x:c r="M46" s="7" t="str"/>
      <x:c r="N46" s="7" t="str"/>
      <x:c r="O46" s="7" t="str"/>
      <x:c r="P46" s="3" t="str">
        <x:v>python -m pytest -q tests/acceptance/test_sidecar_lifecycle.py
Confirm the relevant missing or incorrect behavior for the task's acceptance criteria; record the actual failing behavior and command result.</x:v>
      </x:c>
      <x:c r="Q46" s="7" t="str"/>
      <x:c r="R46" s="7" t="str"/>
      <x:c r="S46" s="7" t="str"/>
      <x:c r="T46" s="7" t="str"/>
      <x:c r="U46" s="7" t="str"/>
    </x:row>
    <x:row r="47" ht="84" customHeight="1">
      <x:c r="A47" s="3" t="str">
        <x:v>CC-E046</x:v>
      </x:c>
      <x:c r="B47" s="3" t="str">
        <x:v>CC-T011-S02: Implementation record</x:v>
      </x:c>
      <x:c r="C47" s="3" t="str">
        <x:v>Bundle a pinned runtime and required libraries.
Start hidden child processes.
Verify readiness and model identity.
Track process ownership.
Stop owned children cleanly.
Handle crashes, port conflicts and failed loads.</x:v>
      </x:c>
      <x:c r="D47" s="3" t="str">
        <x:v>Local development; actual supported hardware for hardware gates</x:v>
      </x:c>
      <x:c r="E47" s="7" t="str">
        <x:v>Not started</x:v>
      </x:c>
      <x:c r="F47" s="7" t="str"/>
      <x:c r="G47" s="7" t="str">
        <x:v>Planned evidence requirement; no result has been observed by this tracker builder.</x:v>
      </x:c>
      <x:c r="H47" s="3" t="str">
        <x:v>Design</x:v>
      </x:c>
      <x:c r="I47" s="3" t="str">
        <x:v>["CC-T011"]</x:v>
      </x:c>
      <x:c r="J47" s="3" t="str">
        <x:v>["CC-T011-S02"]</x:v>
      </x:c>
      <x:c r="K47" s="7" t="str"/>
      <x:c r="L47" s="8" t="str"/>
      <x:c r="M47" s="7" t="str"/>
      <x:c r="N47" s="7" t="str"/>
      <x:c r="O47" s="7" t="str"/>
      <x:c r="P47" s="3" t="str">
        <x:v>Implementation covers the task-specific behavior; no claim of verification is made until S03.</x:v>
      </x:c>
      <x:c r="Q47" s="7" t="str"/>
      <x:c r="R47" s="7" t="str"/>
      <x:c r="S47" s="7" t="str"/>
      <x:c r="T47" s="7" t="str"/>
      <x:c r="U47" s="7" t="str"/>
    </x:row>
    <x:row r="48" ht="72" customHeight="1">
      <x:c r="A48" s="3" t="str">
        <x:v>CC-E047</x:v>
      </x:c>
      <x:c r="B48" s="3" t="str">
        <x:v>CC-T011-S03: Acceptance verification</x:v>
      </x:c>
      <x:c r="C48" s="3" t="str">
        <x:v>Fresh launch does not require Ollama or a separately installed Python.
An unrelated process is never terminated.
A child crash produces a recoverable error.
Closing the application follows the selected shutdown policy.
Repeated launches do not create orphaned model processes.</x:v>
      </x:c>
      <x:c r="D48" s="3" t="str">
        <x:v>Local development; actual supported hardware for hardware gates</x:v>
      </x:c>
      <x:c r="E48" s="7" t="str">
        <x:v>Not started</x:v>
      </x:c>
      <x:c r="F48" s="7" t="str"/>
      <x:c r="G48" s="7" t="str">
        <x:v>Planned evidence requirement; no result has been observed by this tracker builder.</x:v>
      </x:c>
      <x:c r="H48" s="3" t="str">
        <x:v>Execution</x:v>
      </x:c>
      <x:c r="I48" s="3" t="str">
        <x:v>["CC-T011"]</x:v>
      </x:c>
      <x:c r="J48" s="3" t="str">
        <x:v>["CC-T011-S03"]</x:v>
      </x:c>
      <x:c r="K48" s="7" t="str"/>
      <x:c r="L48" s="8" t="str"/>
      <x:c r="M48" s="7" t="str"/>
      <x:c r="N48" s="7" t="str"/>
      <x:c r="O48" s="7" t="str"/>
      <x:c r="P48" s="3" t="str">
        <x:v>python -m pytest -q tests/acceptance/test_sidecar_lifecycle.py
All applicable acceptance criteria pass; separately record manual-source, hardware or clean-installation observations when required.</x:v>
      </x:c>
      <x:c r="Q48" s="7" t="str"/>
      <x:c r="R48" s="7" t="str"/>
      <x:c r="S48" s="7" t="str"/>
      <x:c r="T48" s="7" t="str"/>
      <x:c r="U48" s="7" t="str"/>
    </x:row>
    <x:row r="49" ht="54" customHeight="1">
      <x:c r="A49" s="3" t="str">
        <x:v>CC-E048</x:v>
      </x:c>
      <x:c r="B49" s="3" t="str">
        <x:v>CC-T011-S04: Review and handover</x:v>
      </x:c>
      <x:c r="C49" s="3" t="str">
        <x:v>Review findings resolved or explicitly recorded; evidence links valid; tracker consistent; commit field is blank or identifies an actual commit.</x:v>
      </x:c>
      <x:c r="D49" s="3" t="str">
        <x:v>Local development; actual supported hardware for hardware gates</x:v>
      </x:c>
      <x:c r="E49" s="7" t="str">
        <x:v>Not started</x:v>
      </x:c>
      <x:c r="F49" s="7" t="str"/>
      <x:c r="G49" s="7" t="str">
        <x:v>Planned evidence requirement; no result has been observed by this tracker builder.</x:v>
      </x:c>
      <x:c r="H49" s="3" t="str">
        <x:v>Review</x:v>
      </x:c>
      <x:c r="I49" s="3" t="str">
        <x:v>["CC-T011"]</x:v>
      </x:c>
      <x:c r="J49" s="3" t="str">
        <x:v>["CC-T011-S04"]</x:v>
      </x:c>
      <x:c r="K49" s="7" t="str"/>
      <x:c r="L49" s="8" t="str"/>
      <x:c r="M49" s="7" t="str"/>
      <x:c r="N49" s="7" t="str"/>
      <x:c r="O49" s="7" t="str"/>
      <x:c r="P49" s="3" t="str">
        <x:v>Independent review and all required evidence resolve task acceptance; tracker and handover agree. Record only an existing commit.</x:v>
      </x:c>
      <x:c r="Q49" s="7" t="str"/>
      <x:c r="R49" s="7" t="str"/>
      <x:c r="S49" s="7" t="str"/>
      <x:c r="T49" s="7" t="str"/>
      <x:c r="U49" s="7" t="str"/>
    </x:row>
    <x:row r="50" ht="96" customHeight="1">
      <x:c r="A50" s="3" t="str">
        <x:v>CC-E049</x:v>
      </x:c>
      <x:c r="B50" s="3" t="str">
        <x:v>CC-T012-S01: Regression fixtures and observed baseline gap</x:v>
      </x:c>
      <x:c r="C50" s="3" t="str">
        <x:v>Fixtures cover these expected behaviors and demonstrate the relevant baseline gap:
Invalid settings do not replace a working configuration.
Quantized cache and split-mode restrictions match the pinned build.
External generation mode skips its generation sidecar.
Local embeddings remain available when only generation is external.
Public or redirected endpoints are rejected.</x:v>
      </x:c>
      <x:c r="D50" s="3" t="str">
        <x:v>Local development; actual supported hardware for hardware gates</x:v>
      </x:c>
      <x:c r="E50" s="7" t="str">
        <x:v>Not started</x:v>
      </x:c>
      <x:c r="F50" s="7" t="str"/>
      <x:c r="G50" s="7" t="str">
        <x:v>Planned evidence requirement; no result has been observed by this tracker builder.</x:v>
      </x:c>
      <x:c r="H50" s="3" t="str">
        <x:v>Execution</x:v>
      </x:c>
      <x:c r="I50" s="3" t="str">
        <x:v>["CC-T012"]</x:v>
      </x:c>
      <x:c r="J50" s="3" t="str">
        <x:v>["CC-T012-S01"]</x:v>
      </x:c>
      <x:c r="K50" s="7" t="str"/>
      <x:c r="L50" s="8" t="str"/>
      <x:c r="M50" s="7" t="str"/>
      <x:c r="N50" s="7" t="str"/>
      <x:c r="O50" s="7" t="str"/>
      <x:c r="P50" s="3" t="str">
        <x:v>python -m pytest -q tests/acceptance/test_inference_settings.py
Confirm the relevant missing or incorrect behavior for the task's acceptance criteria; record the actual failing behavior and command result.</x:v>
      </x:c>
      <x:c r="Q50" s="7" t="str"/>
      <x:c r="R50" s="7" t="str"/>
      <x:c r="S50" s="7" t="str"/>
      <x:c r="T50" s="7" t="str"/>
      <x:c r="U50" s="7" t="str"/>
    </x:row>
    <x:row r="51" ht="72" customHeight="1">
      <x:c r="A51" s="3" t="str">
        <x:v>CC-E050</x:v>
      </x:c>
      <x:c r="B51" s="3" t="str">
        <x:v>CC-T012-S02: Implementation record</x:v>
      </x:c>
      <x:c r="C51" s="3" t="str">
        <x:v>Expose validated runtime controls.
Validate split proportions and capability-dependent combinations.
Persist working profiles.
Add explicit external generation and embedding choices.
Restore the last working profile after a rejected change.</x:v>
      </x:c>
      <x:c r="D51" s="3" t="str">
        <x:v>Local development; actual supported hardware for hardware gates</x:v>
      </x:c>
      <x:c r="E51" s="7" t="str">
        <x:v>Not started</x:v>
      </x:c>
      <x:c r="F51" s="7" t="str"/>
      <x:c r="G51" s="7" t="str">
        <x:v>Planned evidence requirement; no result has been observed by this tracker builder.</x:v>
      </x:c>
      <x:c r="H51" s="3" t="str">
        <x:v>Design</x:v>
      </x:c>
      <x:c r="I51" s="3" t="str">
        <x:v>["CC-T012"]</x:v>
      </x:c>
      <x:c r="J51" s="3" t="str">
        <x:v>["CC-T012-S02"]</x:v>
      </x:c>
      <x:c r="K51" s="7" t="str"/>
      <x:c r="L51" s="8" t="str"/>
      <x:c r="M51" s="7" t="str"/>
      <x:c r="N51" s="7" t="str"/>
      <x:c r="O51" s="7" t="str"/>
      <x:c r="P51" s="3" t="str">
        <x:v>Implementation covers the task-specific behavior; no claim of verification is made until S03.</x:v>
      </x:c>
      <x:c r="Q51" s="7" t="str"/>
      <x:c r="R51" s="7" t="str"/>
      <x:c r="S51" s="7" t="str"/>
      <x:c r="T51" s="7" t="str"/>
      <x:c r="U51" s="7" t="str"/>
    </x:row>
    <x:row r="52" ht="72" customHeight="1">
      <x:c r="A52" s="3" t="str">
        <x:v>CC-E051</x:v>
      </x:c>
      <x:c r="B52" s="3" t="str">
        <x:v>CC-T012-S03: Acceptance verification</x:v>
      </x:c>
      <x:c r="C52" s="3" t="str">
        <x:v>Invalid settings do not replace a working configuration.
Quantized cache and split-mode restrictions match the pinned build.
External generation mode skips its generation sidecar.
Local embeddings remain available when only generation is external.
Public or redirected endpoints are rejected.</x:v>
      </x:c>
      <x:c r="D52" s="3" t="str">
        <x:v>Local development; actual supported hardware for hardware gates</x:v>
      </x:c>
      <x:c r="E52" s="7" t="str">
        <x:v>Not started</x:v>
      </x:c>
      <x:c r="F52" s="7" t="str"/>
      <x:c r="G52" s="7" t="str">
        <x:v>Planned evidence requirement; no result has been observed by this tracker builder.</x:v>
      </x:c>
      <x:c r="H52" s="3" t="str">
        <x:v>Execution</x:v>
      </x:c>
      <x:c r="I52" s="3" t="str">
        <x:v>["CC-T012"]</x:v>
      </x:c>
      <x:c r="J52" s="3" t="str">
        <x:v>["CC-T012-S03"]</x:v>
      </x:c>
      <x:c r="K52" s="7" t="str"/>
      <x:c r="L52" s="8" t="str"/>
      <x:c r="M52" s="7" t="str"/>
      <x:c r="N52" s="7" t="str"/>
      <x:c r="O52" s="7" t="str"/>
      <x:c r="P52" s="3" t="str">
        <x:v>python -m pytest -q tests/acceptance/test_inference_settings.py
All applicable acceptance criteria pass; separately record manual-source, hardware or clean-installation observations when required.</x:v>
      </x:c>
      <x:c r="Q52" s="7" t="str"/>
      <x:c r="R52" s="7" t="str"/>
      <x:c r="S52" s="7" t="str"/>
      <x:c r="T52" s="7" t="str"/>
      <x:c r="U52" s="7" t="str"/>
    </x:row>
    <x:row r="53" ht="54" customHeight="1">
      <x:c r="A53" s="3" t="str">
        <x:v>CC-E052</x:v>
      </x:c>
      <x:c r="B53" s="3" t="str">
        <x:v>CC-T012-S04: Review and handover</x:v>
      </x:c>
      <x:c r="C53" s="3" t="str">
        <x:v>Review findings resolved or explicitly recorded; evidence links valid; tracker consistent; commit field is blank or identifies an actual commit.</x:v>
      </x:c>
      <x:c r="D53" s="3" t="str">
        <x:v>Local development; actual supported hardware for hardware gates</x:v>
      </x:c>
      <x:c r="E53" s="7" t="str">
        <x:v>Not started</x:v>
      </x:c>
      <x:c r="F53" s="7" t="str"/>
      <x:c r="G53" s="7" t="str">
        <x:v>Planned evidence requirement; no result has been observed by this tracker builder.</x:v>
      </x:c>
      <x:c r="H53" s="3" t="str">
        <x:v>Review</x:v>
      </x:c>
      <x:c r="I53" s="3" t="str">
        <x:v>["CC-T012"]</x:v>
      </x:c>
      <x:c r="J53" s="3" t="str">
        <x:v>["CC-T012-S04"]</x:v>
      </x:c>
      <x:c r="K53" s="7" t="str"/>
      <x:c r="L53" s="8" t="str"/>
      <x:c r="M53" s="7" t="str"/>
      <x:c r="N53" s="7" t="str"/>
      <x:c r="O53" s="7" t="str"/>
      <x:c r="P53" s="3" t="str">
        <x:v>Independent review and all required evidence resolve task acceptance; tracker and handover agree. Record only an existing commit.</x:v>
      </x:c>
      <x:c r="Q53" s="7" t="str"/>
      <x:c r="R53" s="7" t="str"/>
      <x:c r="S53" s="7" t="str"/>
      <x:c r="T53" s="7" t="str"/>
      <x:c r="U53" s="7" t="str"/>
    </x:row>
    <x:row r="54" ht="96" customHeight="1">
      <x:c r="A54" s="3" t="str">
        <x:v>CC-E053</x:v>
      </x:c>
      <x:c r="B54" s="3" t="str">
        <x:v>CC-T013-S01: Regression fixtures and observed baseline gap</x:v>
      </x:c>
      <x:c r="C54" s="3" t="str">
        <x:v>Fixtures cover these expected behaviors and demonstrate the relevant baseline gap:
Changing the embedding profile requires a new compatible index.
Dimension mismatches fail before querying.
Corrected source content supersedes stale chunks.
Interrupted activation retains the previous valid index.
No default embedding function downloads a model during offline querying.</x:v>
      </x:c>
      <x:c r="D54" s="3" t="str">
        <x:v>Local development</x:v>
      </x:c>
      <x:c r="E54" s="7" t="str">
        <x:v>Not started</x:v>
      </x:c>
      <x:c r="F54" s="7" t="str"/>
      <x:c r="G54" s="7" t="str">
        <x:v>Planned evidence requirement; no result has been observed by this tracker builder.</x:v>
      </x:c>
      <x:c r="H54" s="3" t="str">
        <x:v>Execution</x:v>
      </x:c>
      <x:c r="I54" s="3" t="str">
        <x:v>["CC-T013"]</x:v>
      </x:c>
      <x:c r="J54" s="3" t="str">
        <x:v>["CC-T013-S01"]</x:v>
      </x:c>
      <x:c r="K54" s="7" t="str"/>
      <x:c r="L54" s="8" t="str"/>
      <x:c r="M54" s="7" t="str"/>
      <x:c r="N54" s="7" t="str"/>
      <x:c r="O54" s="7" t="str"/>
      <x:c r="P54" s="3" t="str">
        <x:v>python -m pytest -q tests/acceptance/test_index_identity.py
Confirm the relevant missing or incorrect behavior for the task's acceptance criteria; record the actual failing behavior and command result.</x:v>
      </x:c>
      <x:c r="Q54" s="7" t="str"/>
      <x:c r="R54" s="7" t="str"/>
      <x:c r="S54" s="7" t="str"/>
      <x:c r="T54" s="7" t="str"/>
      <x:c r="U54" s="7" t="str"/>
    </x:row>
    <x:row r="55" ht="96" customHeight="1">
      <x:c r="A55" s="3" t="str">
        <x:v>CC-E054</x:v>
      </x:c>
      <x:c r="B55" s="3" t="str">
        <x:v>CC-T013-S02: Implementation record</x:v>
      </x:c>
      <x:c r="C55" s="3" t="str">
        <x:v>Compute embeddings through the approved local transport.
Persist embedding identity and vector dimensions.
Build vehicle-private and approved shared-source indexes.
Replace hardcoded index destinations.
Stage new index revisions and activate them atomically.
Import legacy vectors only when their identity is demonstrably compatible.</x:v>
      </x:c>
      <x:c r="D55" s="3" t="str">
        <x:v>Local development</x:v>
      </x:c>
      <x:c r="E55" s="7" t="str">
        <x:v>Not started</x:v>
      </x:c>
      <x:c r="F55" s="7" t="str"/>
      <x:c r="G55" s="7" t="str">
        <x:v>Planned evidence requirement; no result has been observed by this tracker builder.</x:v>
      </x:c>
      <x:c r="H55" s="3" t="str">
        <x:v>Design</x:v>
      </x:c>
      <x:c r="I55" s="3" t="str">
        <x:v>["CC-T013"]</x:v>
      </x:c>
      <x:c r="J55" s="3" t="str">
        <x:v>["CC-T013-S02"]</x:v>
      </x:c>
      <x:c r="K55" s="7" t="str"/>
      <x:c r="L55" s="8" t="str"/>
      <x:c r="M55" s="7" t="str"/>
      <x:c r="N55" s="7" t="str"/>
      <x:c r="O55" s="7" t="str"/>
      <x:c r="P55" s="3" t="str">
        <x:v>Implementation covers the task-specific behavior; no claim of verification is made until S03.</x:v>
      </x:c>
      <x:c r="Q55" s="7" t="str"/>
      <x:c r="R55" s="7" t="str"/>
      <x:c r="S55" s="7" t="str"/>
      <x:c r="T55" s="7" t="str"/>
      <x:c r="U55" s="7" t="str"/>
    </x:row>
    <x:row r="56" ht="72" customHeight="1">
      <x:c r="A56" s="3" t="str">
        <x:v>CC-E055</x:v>
      </x:c>
      <x:c r="B56" s="3" t="str">
        <x:v>CC-T013-S03: Acceptance verification</x:v>
      </x:c>
      <x:c r="C56" s="3" t="str">
        <x:v>Changing the embedding profile requires a new compatible index.
Dimension mismatches fail before querying.
Corrected source content supersedes stale chunks.
Interrupted activation retains the previous valid index.
No default embedding function downloads a model during offline querying.</x:v>
      </x:c>
      <x:c r="D56" s="3" t="str">
        <x:v>Local development</x:v>
      </x:c>
      <x:c r="E56" s="7" t="str">
        <x:v>Not started</x:v>
      </x:c>
      <x:c r="F56" s="7" t="str"/>
      <x:c r="G56" s="7" t="str">
        <x:v>Planned evidence requirement; no result has been observed by this tracker builder.</x:v>
      </x:c>
      <x:c r="H56" s="3" t="str">
        <x:v>Execution</x:v>
      </x:c>
      <x:c r="I56" s="3" t="str">
        <x:v>["CC-T013"]</x:v>
      </x:c>
      <x:c r="J56" s="3" t="str">
        <x:v>["CC-T013-S03"]</x:v>
      </x:c>
      <x:c r="K56" s="7" t="str"/>
      <x:c r="L56" s="8" t="str"/>
      <x:c r="M56" s="7" t="str"/>
      <x:c r="N56" s="7" t="str"/>
      <x:c r="O56" s="7" t="str"/>
      <x:c r="P56" s="3" t="str">
        <x:v>python -m pytest -q tests/acceptance/test_index_identity.py
All applicable acceptance criteria pass; separately record manual-source, hardware or clean-installation observations when required.</x:v>
      </x:c>
      <x:c r="Q56" s="7" t="str"/>
      <x:c r="R56" s="7" t="str"/>
      <x:c r="S56" s="7" t="str"/>
      <x:c r="T56" s="7" t="str"/>
      <x:c r="U56" s="7" t="str"/>
    </x:row>
    <x:row r="57" ht="54" customHeight="1">
      <x:c r="A57" s="3" t="str">
        <x:v>CC-E056</x:v>
      </x:c>
      <x:c r="B57" s="3" t="str">
        <x:v>CC-T013-S04: Review and handover</x:v>
      </x:c>
      <x:c r="C57" s="3" t="str">
        <x:v>Review findings resolved or explicitly recorded; evidence links valid; tracker consistent; commit field is blank or identifies an actual commit.</x:v>
      </x:c>
      <x:c r="D57" s="3" t="str">
        <x:v>Local development</x:v>
      </x:c>
      <x:c r="E57" s="7" t="str">
        <x:v>Not started</x:v>
      </x:c>
      <x:c r="F57" s="7" t="str"/>
      <x:c r="G57" s="7" t="str">
        <x:v>Planned evidence requirement; no result has been observed by this tracker builder.</x:v>
      </x:c>
      <x:c r="H57" s="3" t="str">
        <x:v>Review</x:v>
      </x:c>
      <x:c r="I57" s="3" t="str">
        <x:v>["CC-T013"]</x:v>
      </x:c>
      <x:c r="J57" s="3" t="str">
        <x:v>["CC-T013-S04"]</x:v>
      </x:c>
      <x:c r="K57" s="7" t="str"/>
      <x:c r="L57" s="8" t="str"/>
      <x:c r="M57" s="7" t="str"/>
      <x:c r="N57" s="7" t="str"/>
      <x:c r="O57" s="7" t="str"/>
      <x:c r="P57" s="3" t="str">
        <x:v>Independent review and all required evidence resolve task acceptance; tracker and handover agree. Record only an existing commit.</x:v>
      </x:c>
      <x:c r="Q57" s="7" t="str"/>
      <x:c r="R57" s="7" t="str"/>
      <x:c r="S57" s="7" t="str"/>
      <x:c r="T57" s="7" t="str"/>
      <x:c r="U57" s="7" t="str"/>
    </x:row>
    <x:row r="58" ht="108" customHeight="1">
      <x:c r="A58" s="3" t="str">
        <x:v>CC-E057</x:v>
      </x:c>
      <x:c r="B58" s="3" t="str">
        <x:v>CC-T014-S01: Regression fixtures and observed baseline gap</x:v>
      </x:c>
      <x:c r="C58" s="3" t="str">
        <x:v>Fixtures cover these expected behaviors and demonstrate the relevant baseline gap:
Wrong-vehicle distractors never enter the evidence package.
Exact DTC and part-identifier fixtures are retrieved correctly.
Shared-source searches respect the active vehicle’s associations.
Context expansion preserves the reason a result was selected.
Repeated identical inputs produce stable candidate ordering where scores tie.</x:v>
      </x:c>
      <x:c r="D58" s="3" t="str">
        <x:v>Local development</x:v>
      </x:c>
      <x:c r="E58" s="7" t="str">
        <x:v>Not started</x:v>
      </x:c>
      <x:c r="F58" s="7" t="str"/>
      <x:c r="G58" s="7" t="str">
        <x:v>Planned evidence requirement; no result has been observed by this tracker builder.</x:v>
      </x:c>
      <x:c r="H58" s="3" t="str">
        <x:v>Execution</x:v>
      </x:c>
      <x:c r="I58" s="3" t="str">
        <x:v>["CC-T014"]</x:v>
      </x:c>
      <x:c r="J58" s="3" t="str">
        <x:v>["CC-T014-S01"]</x:v>
      </x:c>
      <x:c r="K58" s="7" t="str"/>
      <x:c r="L58" s="8" t="str"/>
      <x:c r="M58" s="7" t="str"/>
      <x:c r="N58" s="7" t="str"/>
      <x:c r="O58" s="7" t="str"/>
      <x:c r="P58" s="3" t="str">
        <x:v>python -m pytest -q tests/acceptance/test_retrieval_evidence.py
Confirm the relevant missing or incorrect behavior for the task's acceptance criteria; record the actual failing behavior and command result.</x:v>
      </x:c>
      <x:c r="Q58" s="7" t="str"/>
      <x:c r="R58" s="7" t="str"/>
      <x:c r="S58" s="7" t="str"/>
      <x:c r="T58" s="7" t="str"/>
      <x:c r="U58" s="7" t="str"/>
    </x:row>
    <x:row r="59" ht="72" customHeight="1">
      <x:c r="A59" s="3" t="str">
        <x:v>CC-E058</x:v>
      </x:c>
      <x:c r="B59" s="3" t="str">
        <x:v>CC-T014-S02: Implementation record</x:v>
      </x:c>
      <x:c r="C59" s="3" t="str">
        <x:v>Add exact-identifier and FTS retrieval.
Apply identical access/applicability restrictions to all search paths.
Merge lexical and vector candidates deterministically.
Expand warnings, tables, figures and parent context.
Produce the evidence-package contract.</x:v>
      </x:c>
      <x:c r="D59" s="3" t="str">
        <x:v>Local development</x:v>
      </x:c>
      <x:c r="E59" s="7" t="str">
        <x:v>Not started</x:v>
      </x:c>
      <x:c r="F59" s="7" t="str"/>
      <x:c r="G59" s="7" t="str">
        <x:v>Planned evidence requirement; no result has been observed by this tracker builder.</x:v>
      </x:c>
      <x:c r="H59" s="3" t="str">
        <x:v>Design</x:v>
      </x:c>
      <x:c r="I59" s="3" t="str">
        <x:v>["CC-T014"]</x:v>
      </x:c>
      <x:c r="J59" s="3" t="str">
        <x:v>["CC-T014-S02"]</x:v>
      </x:c>
      <x:c r="K59" s="7" t="str"/>
      <x:c r="L59" s="8" t="str"/>
      <x:c r="M59" s="7" t="str"/>
      <x:c r="N59" s="7" t="str"/>
      <x:c r="O59" s="7" t="str"/>
      <x:c r="P59" s="3" t="str">
        <x:v>Implementation covers the task-specific behavior; no claim of verification is made until S03.</x:v>
      </x:c>
      <x:c r="Q59" s="7" t="str"/>
      <x:c r="R59" s="7" t="str"/>
      <x:c r="S59" s="7" t="str"/>
      <x:c r="T59" s="7" t="str"/>
      <x:c r="U59" s="7" t="str"/>
    </x:row>
    <x:row r="60" ht="84" customHeight="1">
      <x:c r="A60" s="3" t="str">
        <x:v>CC-E059</x:v>
      </x:c>
      <x:c r="B60" s="3" t="str">
        <x:v>CC-T014-S03: Acceptance verification</x:v>
      </x:c>
      <x:c r="C60" s="3" t="str">
        <x:v>Wrong-vehicle distractors never enter the evidence package.
Exact DTC and part-identifier fixtures are retrieved correctly.
Shared-source searches respect the active vehicle’s associations.
Context expansion preserves the reason a result was selected.
Repeated identical inputs produce stable candidate ordering where scores tie.</x:v>
      </x:c>
      <x:c r="D60" s="3" t="str">
        <x:v>Local development</x:v>
      </x:c>
      <x:c r="E60" s="7" t="str">
        <x:v>Not started</x:v>
      </x:c>
      <x:c r="F60" s="7" t="str"/>
      <x:c r="G60" s="7" t="str">
        <x:v>Planned evidence requirement; no result has been observed by this tracker builder.</x:v>
      </x:c>
      <x:c r="H60" s="3" t="str">
        <x:v>Execution</x:v>
      </x:c>
      <x:c r="I60" s="3" t="str">
        <x:v>["CC-T014"]</x:v>
      </x:c>
      <x:c r="J60" s="3" t="str">
        <x:v>["CC-T014-S03"]</x:v>
      </x:c>
      <x:c r="K60" s="7" t="str"/>
      <x:c r="L60" s="8" t="str"/>
      <x:c r="M60" s="7" t="str"/>
      <x:c r="N60" s="7" t="str"/>
      <x:c r="O60" s="7" t="str"/>
      <x:c r="P60" s="3" t="str">
        <x:v>python -m pytest -q tests/acceptance/test_retrieval_evidence.py
All applicable acceptance criteria pass; separately record manual-source, hardware or clean-installation observations when required.</x:v>
      </x:c>
      <x:c r="Q60" s="7" t="str"/>
      <x:c r="R60" s="7" t="str"/>
      <x:c r="S60" s="7" t="str"/>
      <x:c r="T60" s="7" t="str"/>
      <x:c r="U60" s="7" t="str"/>
    </x:row>
    <x:row r="61" ht="54" customHeight="1">
      <x:c r="A61" s="3" t="str">
        <x:v>CC-E060</x:v>
      </x:c>
      <x:c r="B61" s="3" t="str">
        <x:v>CC-T014-S04: Review and handover</x:v>
      </x:c>
      <x:c r="C61" s="3" t="str">
        <x:v>Review findings resolved or explicitly recorded; evidence links valid; tracker consistent; commit field is blank or identifies an actual commit.</x:v>
      </x:c>
      <x:c r="D61" s="3" t="str">
        <x:v>Local development</x:v>
      </x:c>
      <x:c r="E61" s="7" t="str">
        <x:v>Not started</x:v>
      </x:c>
      <x:c r="F61" s="7" t="str"/>
      <x:c r="G61" s="7" t="str">
        <x:v>Planned evidence requirement; no result has been observed by this tracker builder.</x:v>
      </x:c>
      <x:c r="H61" s="3" t="str">
        <x:v>Review</x:v>
      </x:c>
      <x:c r="I61" s="3" t="str">
        <x:v>["CC-T014"]</x:v>
      </x:c>
      <x:c r="J61" s="3" t="str">
        <x:v>["CC-T014-S04"]</x:v>
      </x:c>
      <x:c r="K61" s="7" t="str"/>
      <x:c r="L61" s="8" t="str"/>
      <x:c r="M61" s="7" t="str"/>
      <x:c r="N61" s="7" t="str"/>
      <x:c r="O61" s="7" t="str"/>
      <x:c r="P61" s="3" t="str">
        <x:v>Independent review and all required evidence resolve task acceptance; tracker and handover agree. Record only an existing commit.</x:v>
      </x:c>
      <x:c r="Q61" s="7" t="str"/>
      <x:c r="R61" s="7" t="str"/>
      <x:c r="S61" s="7" t="str"/>
      <x:c r="T61" s="7" t="str"/>
      <x:c r="U61" s="7" t="str"/>
    </x:row>
    <x:row r="62" ht="108" customHeight="1">
      <x:c r="A62" s="3" t="str">
        <x:v>CC-E061</x:v>
      </x:c>
      <x:c r="B62" s="3" t="str">
        <x:v>CC-T015-S01: Regression fixtures and observed baseline gap</x:v>
      </x:c>
      <x:c r="C62" s="3" t="str">
        <x:v>Fixtures cover these expected behaviors and demonstrate the relevant baseline gap:
Swapped fastener values fail.
Missing angle stages fail.
Unsupported capacities and part numbers do not receive a blanket verified state.
Zero checked specifications does not mean universal verification.
Conflicting applicable records withhold a definitive value.</x:v>
      </x:c>
      <x:c r="D62" s="3" t="str">
        <x:v>Local development</x:v>
      </x:c>
      <x:c r="E62" s="7" t="str">
        <x:v>Not started</x:v>
      </x:c>
      <x:c r="F62" s="7" t="str"/>
      <x:c r="G62" s="7" t="str">
        <x:v>Planned evidence requirement; no result has been observed by this tracker builder.</x:v>
      </x:c>
      <x:c r="H62" s="3" t="str">
        <x:v>Execution</x:v>
      </x:c>
      <x:c r="I62" s="3" t="str">
        <x:v>["CC-T015"]</x:v>
      </x:c>
      <x:c r="J62" s="3" t="str">
        <x:v>["CC-T015-S01"]</x:v>
      </x:c>
      <x:c r="K62" s="7" t="str"/>
      <x:c r="L62" s="8" t="str"/>
      <x:c r="M62" s="7" t="str"/>
      <x:c r="N62" s="7" t="str"/>
      <x:c r="O62" s="7" t="str"/>
      <x:c r="P62" s="3" t="str">
        <x:v>python -m pytest -q tests/acceptance/test_specification_binding.py
Confirm the relevant missing or incorrect behavior for the task's acceptance criteria; record the actual failing behavior and command result.</x:v>
      </x:c>
      <x:c r="Q62" s="7" t="str"/>
      <x:c r="R62" s="7" t="str"/>
      <x:c r="S62" s="7" t="str"/>
      <x:c r="T62" s="7" t="str"/>
      <x:c r="U62" s="7" t="str"/>
    </x:row>
    <x:row r="63" ht="72" customHeight="1">
      <x:c r="A63" s="3" t="str">
        <x:v>CC-E062</x:v>
      </x:c>
      <x:c r="B63" s="3" t="str">
        <x:v>CC-T015-S02: Implementation record</x:v>
      </x:c>
      <x:c r="C63" s="3" t="str">
        <x:v>Adapt useful existing numeric extraction patterns.
Add typed specification records.
Bind values to component, operation, conditions and evidence.
Add explicit support states.
Render approved expressions in application code.</x:v>
      </x:c>
      <x:c r="D63" s="3" t="str">
        <x:v>Local development</x:v>
      </x:c>
      <x:c r="E63" s="7" t="str">
        <x:v>Not started</x:v>
      </x:c>
      <x:c r="F63" s="7" t="str"/>
      <x:c r="G63" s="7" t="str">
        <x:v>Planned evidence requirement; no result has been observed by this tracker builder.</x:v>
      </x:c>
      <x:c r="H63" s="3" t="str">
        <x:v>Design</x:v>
      </x:c>
      <x:c r="I63" s="3" t="str">
        <x:v>["CC-T015"]</x:v>
      </x:c>
      <x:c r="J63" s="3" t="str">
        <x:v>["CC-T015-S02"]</x:v>
      </x:c>
      <x:c r="K63" s="7" t="str"/>
      <x:c r="L63" s="8" t="str"/>
      <x:c r="M63" s="7" t="str"/>
      <x:c r="N63" s="7" t="str"/>
      <x:c r="O63" s="7" t="str"/>
      <x:c r="P63" s="3" t="str">
        <x:v>Implementation covers the task-specific behavior; no claim of verification is made until S03.</x:v>
      </x:c>
      <x:c r="Q63" s="7" t="str"/>
      <x:c r="R63" s="7" t="str"/>
      <x:c r="S63" s="7" t="str"/>
      <x:c r="T63" s="7" t="str"/>
      <x:c r="U63" s="7" t="str"/>
    </x:row>
    <x:row r="64" ht="84" customHeight="1">
      <x:c r="A64" s="3" t="str">
        <x:v>CC-E063</x:v>
      </x:c>
      <x:c r="B64" s="3" t="str">
        <x:v>CC-T015-S03: Acceptance verification</x:v>
      </x:c>
      <x:c r="C64" s="3" t="str">
        <x:v>Swapped fastener values fail.
Missing angle stages fail.
Unsupported capacities and part numbers do not receive a blanket verified state.
Zero checked specifications does not mean universal verification.
Conflicting applicable records withhold a definitive value.</x:v>
      </x:c>
      <x:c r="D64" s="3" t="str">
        <x:v>Local development</x:v>
      </x:c>
      <x:c r="E64" s="7" t="str">
        <x:v>Not started</x:v>
      </x:c>
      <x:c r="F64" s="7" t="str"/>
      <x:c r="G64" s="7" t="str">
        <x:v>Planned evidence requirement; no result has been observed by this tracker builder.</x:v>
      </x:c>
      <x:c r="H64" s="3" t="str">
        <x:v>Execution</x:v>
      </x:c>
      <x:c r="I64" s="3" t="str">
        <x:v>["CC-T015"]</x:v>
      </x:c>
      <x:c r="J64" s="3" t="str">
        <x:v>["CC-T015-S03"]</x:v>
      </x:c>
      <x:c r="K64" s="7" t="str"/>
      <x:c r="L64" s="8" t="str"/>
      <x:c r="M64" s="7" t="str"/>
      <x:c r="N64" s="7" t="str"/>
      <x:c r="O64" s="7" t="str"/>
      <x:c r="P64" s="3" t="str">
        <x:v>python -m pytest -q tests/acceptance/test_specification_binding.py
All applicable acceptance criteria pass; separately record manual-source, hardware or clean-installation observations when required.</x:v>
      </x:c>
      <x:c r="Q64" s="7" t="str"/>
      <x:c r="R64" s="7" t="str"/>
      <x:c r="S64" s="7" t="str"/>
      <x:c r="T64" s="7" t="str"/>
      <x:c r="U64" s="7" t="str"/>
    </x:row>
    <x:row r="65" ht="54" customHeight="1">
      <x:c r="A65" s="3" t="str">
        <x:v>CC-E064</x:v>
      </x:c>
      <x:c r="B65" s="3" t="str">
        <x:v>CC-T015-S04: Review and handover</x:v>
      </x:c>
      <x:c r="C65" s="3" t="str">
        <x:v>Review findings resolved or explicitly recorded; evidence links valid; tracker consistent; commit field is blank or identifies an actual commit.</x:v>
      </x:c>
      <x:c r="D65" s="3" t="str">
        <x:v>Local development</x:v>
      </x:c>
      <x:c r="E65" s="7" t="str">
        <x:v>Not started</x:v>
      </x:c>
      <x:c r="F65" s="7" t="str"/>
      <x:c r="G65" s="7" t="str">
        <x:v>Planned evidence requirement; no result has been observed by this tracker builder.</x:v>
      </x:c>
      <x:c r="H65" s="3" t="str">
        <x:v>Review</x:v>
      </x:c>
      <x:c r="I65" s="3" t="str">
        <x:v>["CC-T015"]</x:v>
      </x:c>
      <x:c r="J65" s="3" t="str">
        <x:v>["CC-T015-S04"]</x:v>
      </x:c>
      <x:c r="K65" s="7" t="str"/>
      <x:c r="L65" s="8" t="str"/>
      <x:c r="M65" s="7" t="str"/>
      <x:c r="N65" s="7" t="str"/>
      <x:c r="O65" s="7" t="str"/>
      <x:c r="P65" s="3" t="str">
        <x:v>Independent review and all required evidence resolve task acceptance; tracker and handover agree. Record only an existing commit.</x:v>
      </x:c>
      <x:c r="Q65" s="7" t="str"/>
      <x:c r="R65" s="7" t="str"/>
      <x:c r="S65" s="7" t="str"/>
      <x:c r="T65" s="7" t="str"/>
      <x:c r="U65" s="7" t="str"/>
    </x:row>
    <x:row r="66" ht="96" customHeight="1">
      <x:c r="A66" s="3" t="str">
        <x:v>CC-E065</x:v>
      </x:c>
      <x:c r="B66" s="3" t="str">
        <x:v>CC-T016-S01: Regression fixtures and observed baseline gap</x:v>
      </x:c>
      <x:c r="C66" s="3" t="str">
        <x:v>Fixtures cover these expected behaviors and demonstrate the relevant baseline gap:
Missing information produces the required abstention sentence.
Invalid citations cannot appear as support.
Unsupported generated specifications are withheld.
Out-of-domain requests receive a brief useful response.
Failed or cancelled generation cannot become a completed answer.</x:v>
      </x:c>
      <x:c r="D66" s="3" t="str">
        <x:v>Local development</x:v>
      </x:c>
      <x:c r="E66" s="7" t="str">
        <x:v>Not started</x:v>
      </x:c>
      <x:c r="F66" s="7" t="str"/>
      <x:c r="G66" s="7" t="str">
        <x:v>Planned evidence requirement; no result has been observed by this tracker builder.</x:v>
      </x:c>
      <x:c r="H66" s="3" t="str">
        <x:v>Execution</x:v>
      </x:c>
      <x:c r="I66" s="3" t="str">
        <x:v>["CC-T016"]</x:v>
      </x:c>
      <x:c r="J66" s="3" t="str">
        <x:v>["CC-T016-S01"]</x:v>
      </x:c>
      <x:c r="K66" s="7" t="str"/>
      <x:c r="L66" s="8" t="str"/>
      <x:c r="M66" s="7" t="str"/>
      <x:c r="N66" s="7" t="str"/>
      <x:c r="O66" s="7" t="str"/>
      <x:c r="P66" s="3" t="str">
        <x:v>python -m pytest -q tests/acceptance/test_answer_routing.py
Confirm the relevant missing or incorrect behavior for the task's acceptance criteria; record the actual failing behavior and command result.</x:v>
      </x:c>
      <x:c r="Q66" s="7" t="str"/>
      <x:c r="R66" s="7" t="str"/>
      <x:c r="S66" s="7" t="str"/>
      <x:c r="T66" s="7" t="str"/>
      <x:c r="U66" s="7" t="str"/>
    </x:row>
    <x:row r="67" ht="72" customHeight="1">
      <x:c r="A67" s="3" t="str">
        <x:v>CC-E066</x:v>
      </x:c>
      <x:c r="B67" s="3" t="str">
        <x:v>CC-T016-S02: Implementation record</x:v>
      </x:c>
      <x:c r="C67" s="3" t="str">
        <x:v>Add fact, diagnosis, procedure, source and out-of-domain routes.
Render direct facts without unnecessary generation.
Validate citation access, claim support and answer structure.
Allow one bounded formatting-repair attempt for malformed model output.
Preserve separate answer dispositions.</x:v>
      </x:c>
      <x:c r="D67" s="3" t="str">
        <x:v>Local development</x:v>
      </x:c>
      <x:c r="E67" s="7" t="str">
        <x:v>Not started</x:v>
      </x:c>
      <x:c r="F67" s="7" t="str"/>
      <x:c r="G67" s="7" t="str">
        <x:v>Planned evidence requirement; no result has been observed by this tracker builder.</x:v>
      </x:c>
      <x:c r="H67" s="3" t="str">
        <x:v>Design</x:v>
      </x:c>
      <x:c r="I67" s="3" t="str">
        <x:v>["CC-T016"]</x:v>
      </x:c>
      <x:c r="J67" s="3" t="str">
        <x:v>["CC-T016-S02"]</x:v>
      </x:c>
      <x:c r="K67" s="7" t="str"/>
      <x:c r="L67" s="8" t="str"/>
      <x:c r="M67" s="7" t="str"/>
      <x:c r="N67" s="7" t="str"/>
      <x:c r="O67" s="7" t="str"/>
      <x:c r="P67" s="3" t="str">
        <x:v>Implementation covers the task-specific behavior; no claim of verification is made until S03.</x:v>
      </x:c>
      <x:c r="Q67" s="7" t="str"/>
      <x:c r="R67" s="7" t="str"/>
      <x:c r="S67" s="7" t="str"/>
      <x:c r="T67" s="7" t="str"/>
      <x:c r="U67" s="7" t="str"/>
    </x:row>
    <x:row r="68" ht="72" customHeight="1">
      <x:c r="A68" s="3" t="str">
        <x:v>CC-E067</x:v>
      </x:c>
      <x:c r="B68" s="3" t="str">
        <x:v>CC-T016-S03: Acceptance verification</x:v>
      </x:c>
      <x:c r="C68" s="3" t="str">
        <x:v>Missing information produces the required abstention sentence.
Invalid citations cannot appear as support.
Unsupported generated specifications are withheld.
Out-of-domain requests receive a brief useful response.
Failed or cancelled generation cannot become a completed answer.</x:v>
      </x:c>
      <x:c r="D68" s="3" t="str">
        <x:v>Local development</x:v>
      </x:c>
      <x:c r="E68" s="7" t="str">
        <x:v>Not started</x:v>
      </x:c>
      <x:c r="F68" s="7" t="str"/>
      <x:c r="G68" s="7" t="str">
        <x:v>Planned evidence requirement; no result has been observed by this tracker builder.</x:v>
      </x:c>
      <x:c r="H68" s="3" t="str">
        <x:v>Execution</x:v>
      </x:c>
      <x:c r="I68" s="3" t="str">
        <x:v>["CC-T016"]</x:v>
      </x:c>
      <x:c r="J68" s="3" t="str">
        <x:v>["CC-T016-S03"]</x:v>
      </x:c>
      <x:c r="K68" s="7" t="str"/>
      <x:c r="L68" s="8" t="str"/>
      <x:c r="M68" s="7" t="str"/>
      <x:c r="N68" s="7" t="str"/>
      <x:c r="O68" s="7" t="str"/>
      <x:c r="P68" s="3" t="str">
        <x:v>python -m pytest -q tests/acceptance/test_answer_routing.py
All applicable acceptance criteria pass; separately record manual-source, hardware or clean-installation observations when required.</x:v>
      </x:c>
      <x:c r="Q68" s="7" t="str"/>
      <x:c r="R68" s="7" t="str"/>
      <x:c r="S68" s="7" t="str"/>
      <x:c r="T68" s="7" t="str"/>
      <x:c r="U68" s="7" t="str"/>
    </x:row>
    <x:row r="69" ht="54" customHeight="1">
      <x:c r="A69" s="3" t="str">
        <x:v>CC-E068</x:v>
      </x:c>
      <x:c r="B69" s="3" t="str">
        <x:v>CC-T016-S04: Review and handover</x:v>
      </x:c>
      <x:c r="C69" s="3" t="str">
        <x:v>Review findings resolved or explicitly recorded; evidence links valid; tracker consistent; commit field is blank or identifies an actual commit.</x:v>
      </x:c>
      <x:c r="D69" s="3" t="str">
        <x:v>Local development</x:v>
      </x:c>
      <x:c r="E69" s="7" t="str">
        <x:v>Not started</x:v>
      </x:c>
      <x:c r="F69" s="7" t="str"/>
      <x:c r="G69" s="7" t="str">
        <x:v>Planned evidence requirement; no result has been observed by this tracker builder.</x:v>
      </x:c>
      <x:c r="H69" s="3" t="str">
        <x:v>Review</x:v>
      </x:c>
      <x:c r="I69" s="3" t="str">
        <x:v>["CC-T016"]</x:v>
      </x:c>
      <x:c r="J69" s="3" t="str">
        <x:v>["CC-T016-S04"]</x:v>
      </x:c>
      <x:c r="K69" s="7" t="str"/>
      <x:c r="L69" s="8" t="str"/>
      <x:c r="M69" s="7" t="str"/>
      <x:c r="N69" s="7" t="str"/>
      <x:c r="O69" s="7" t="str"/>
      <x:c r="P69" s="3" t="str">
        <x:v>Independent review and all required evidence resolve task acceptance; tracker and handover agree. Record only an existing commit.</x:v>
      </x:c>
      <x:c r="Q69" s="7" t="str"/>
      <x:c r="R69" s="7" t="str"/>
      <x:c r="S69" s="7" t="str"/>
      <x:c r="T69" s="7" t="str"/>
      <x:c r="U69" s="7" t="str"/>
    </x:row>
    <x:row r="70" ht="108" customHeight="1">
      <x:c r="A70" s="3" t="str">
        <x:v>CC-E069</x:v>
      </x:c>
      <x:c r="B70" s="3" t="str">
        <x:v>CC-T017-S01: Regression fixtures and observed baseline gap</x:v>
      </x:c>
      <x:c r="C70" s="3" t="str">
        <x:v>Fixtures cover these expected behaviors and demonstrate the relevant baseline gap:
Desktop and browser workflows use the same data.
Rapid Garage switching does not display another vehicle’s result.
Keyboard navigation and visible focus work.
Loading, empty, failure, unknown-applicability and cancelled states are covered.
No CDN is needed.</x:v>
      </x:c>
      <x:c r="D70" s="3" t="str">
        <x:v>Local development</x:v>
      </x:c>
      <x:c r="E70" s="7" t="str">
        <x:v>Not started</x:v>
      </x:c>
      <x:c r="F70" s="7" t="str"/>
      <x:c r="G70" s="7" t="str">
        <x:v>Planned evidence requirement; no result has been observed by this tracker builder.</x:v>
      </x:c>
      <x:c r="H70" s="3" t="str">
        <x:v>Execution</x:v>
      </x:c>
      <x:c r="I70" s="3" t="str">
        <x:v>["CC-T017"]</x:v>
      </x:c>
      <x:c r="J70" s="3" t="str">
        <x:v>["CC-T017-S01"]</x:v>
      </x:c>
      <x:c r="K70" s="7" t="str"/>
      <x:c r="L70" s="8" t="str"/>
      <x:c r="M70" s="7" t="str"/>
      <x:c r="N70" s="7" t="str"/>
      <x:c r="O70" s="7" t="str"/>
      <x:c r="P70" s="3" t="str">
        <x:v>python -m pytest -q tests/acceptance/test_workspace_ui.py
Confirm the relevant missing or incorrect behavior for the task's acceptance criteria; record the actual failing behavior and command result.</x:v>
      </x:c>
      <x:c r="Q70" s="7" t="str"/>
      <x:c r="R70" s="7" t="str"/>
      <x:c r="S70" s="7" t="str"/>
      <x:c r="T70" s="7" t="str"/>
      <x:c r="U70" s="7" t="str"/>
    </x:row>
    <x:row r="71" ht="72" customHeight="1">
      <x:c r="A71" s="3" t="str">
        <x:v>CC-E070</x:v>
      </x:c>
      <x:c r="B71" s="3" t="str">
        <x:v>CC-T017-S02: Implementation record</x:v>
      </x:c>
      <x:c r="C71" s="3" t="str">
        <x:v>Add Garage navigation and persistent active-vehicle display.
Build Library, job progress, history and settings screens.
Use the same backend in browser and pywebview.
Preserve request context during vehicle switching.
Bundle all interface assets locally.</x:v>
      </x:c>
      <x:c r="D71" s="3" t="str">
        <x:v>Local development</x:v>
      </x:c>
      <x:c r="E71" s="7" t="str">
        <x:v>Not started</x:v>
      </x:c>
      <x:c r="F71" s="7" t="str"/>
      <x:c r="G71" s="7" t="str">
        <x:v>Planned evidence requirement; no result has been observed by this tracker builder.</x:v>
      </x:c>
      <x:c r="H71" s="3" t="str">
        <x:v>Design</x:v>
      </x:c>
      <x:c r="I71" s="3" t="str">
        <x:v>["CC-T017"]</x:v>
      </x:c>
      <x:c r="J71" s="3" t="str">
        <x:v>["CC-T017-S02"]</x:v>
      </x:c>
      <x:c r="K71" s="7" t="str"/>
      <x:c r="L71" s="8" t="str"/>
      <x:c r="M71" s="7" t="str"/>
      <x:c r="N71" s="7" t="str"/>
      <x:c r="O71" s="7" t="str"/>
      <x:c r="P71" s="3" t="str">
        <x:v>Implementation covers the task-specific behavior; no claim of verification is made until S03.</x:v>
      </x:c>
      <x:c r="Q71" s="7" t="str"/>
      <x:c r="R71" s="7" t="str"/>
      <x:c r="S71" s="7" t="str"/>
      <x:c r="T71" s="7" t="str"/>
      <x:c r="U71" s="7" t="str"/>
    </x:row>
    <x:row r="72" ht="84" customHeight="1">
      <x:c r="A72" s="3" t="str">
        <x:v>CC-E071</x:v>
      </x:c>
      <x:c r="B72" s="3" t="str">
        <x:v>CC-T017-S03: Acceptance verification</x:v>
      </x:c>
      <x:c r="C72" s="3" t="str">
        <x:v>Desktop and browser workflows use the same data.
Rapid Garage switching does not display another vehicle’s result.
Keyboard navigation and visible focus work.
Loading, empty, failure, unknown-applicability and cancelled states are covered.
No CDN is needed.</x:v>
      </x:c>
      <x:c r="D72" s="3" t="str">
        <x:v>Local development</x:v>
      </x:c>
      <x:c r="E72" s="7" t="str">
        <x:v>Not started</x:v>
      </x:c>
      <x:c r="F72" s="7" t="str"/>
      <x:c r="G72" s="7" t="str">
        <x:v>Planned evidence requirement; no result has been observed by this tracker builder.</x:v>
      </x:c>
      <x:c r="H72" s="3" t="str">
        <x:v>Execution</x:v>
      </x:c>
      <x:c r="I72" s="3" t="str">
        <x:v>["CC-T017"]</x:v>
      </x:c>
      <x:c r="J72" s="3" t="str">
        <x:v>["CC-T017-S03"]</x:v>
      </x:c>
      <x:c r="K72" s="7" t="str"/>
      <x:c r="L72" s="8" t="str"/>
      <x:c r="M72" s="7" t="str"/>
      <x:c r="N72" s="7" t="str"/>
      <x:c r="O72" s="7" t="str"/>
      <x:c r="P72" s="3" t="str">
        <x:v>python -m pytest -q tests/acceptance/test_workspace_ui.py
All applicable acceptance criteria pass; separately record manual-source, hardware or clean-installation observations when required.</x:v>
      </x:c>
      <x:c r="Q72" s="7" t="str"/>
      <x:c r="R72" s="7" t="str"/>
      <x:c r="S72" s="7" t="str"/>
      <x:c r="T72" s="7" t="str"/>
      <x:c r="U72" s="7" t="str"/>
    </x:row>
    <x:row r="73" ht="54" customHeight="1">
      <x:c r="A73" s="3" t="str">
        <x:v>CC-E072</x:v>
      </x:c>
      <x:c r="B73" s="3" t="str">
        <x:v>CC-T017-S04: Review and handover</x:v>
      </x:c>
      <x:c r="C73" s="3" t="str">
        <x:v>Review findings resolved or explicitly recorded; evidence links valid; tracker consistent; commit field is blank or identifies an actual commit.</x:v>
      </x:c>
      <x:c r="D73" s="3" t="str">
        <x:v>Local development</x:v>
      </x:c>
      <x:c r="E73" s="7" t="str">
        <x:v>Not started</x:v>
      </x:c>
      <x:c r="F73" s="7" t="str"/>
      <x:c r="G73" s="7" t="str">
        <x:v>Planned evidence requirement; no result has been observed by this tracker builder.</x:v>
      </x:c>
      <x:c r="H73" s="3" t="str">
        <x:v>Review</x:v>
      </x:c>
      <x:c r="I73" s="3" t="str">
        <x:v>["CC-T017"]</x:v>
      </x:c>
      <x:c r="J73" s="3" t="str">
        <x:v>["CC-T017-S04"]</x:v>
      </x:c>
      <x:c r="K73" s="7" t="str"/>
      <x:c r="L73" s="8" t="str"/>
      <x:c r="M73" s="7" t="str"/>
      <x:c r="N73" s="7" t="str"/>
      <x:c r="O73" s="7" t="str"/>
      <x:c r="P73" s="3" t="str">
        <x:v>Independent review and all required evidence resolve task acceptance; tracker and handover agree. Record only an existing commit.</x:v>
      </x:c>
      <x:c r="Q73" s="7" t="str"/>
      <x:c r="R73" s="7" t="str"/>
      <x:c r="S73" s="7" t="str"/>
      <x:c r="T73" s="7" t="str"/>
      <x:c r="U73" s="7" t="str"/>
    </x:row>
    <x:row r="74" ht="96" customHeight="1">
      <x:c r="A74" s="3" t="str">
        <x:v>CC-E073</x:v>
      </x:c>
      <x:c r="B74" s="3" t="str">
        <x:v>CC-T018-S01: Regression fixtures and observed baseline gap</x:v>
      </x:c>
      <x:c r="C74" s="3" t="str">
        <x:v>Fixtures cover these expected behaviors and demonstrate the relevant baseline gap:
Each test citation opens the correct source and page.
A citation cannot open another Garage’s private file.
Highlight coordinates remain correct after scaling.
Transformed-copy references resolve through the page map.
Source access works offline.</x:v>
      </x:c>
      <x:c r="D74" s="3" t="str">
        <x:v>Local development</x:v>
      </x:c>
      <x:c r="E74" s="7" t="str">
        <x:v>Not started</x:v>
      </x:c>
      <x:c r="F74" s="7" t="str"/>
      <x:c r="G74" s="7" t="str">
        <x:v>Planned evidence requirement; no result has been observed by this tracker builder.</x:v>
      </x:c>
      <x:c r="H74" s="3" t="str">
        <x:v>Execution</x:v>
      </x:c>
      <x:c r="I74" s="3" t="str">
        <x:v>["CC-T018"]</x:v>
      </x:c>
      <x:c r="J74" s="3" t="str">
        <x:v>["CC-T018-S01"]</x:v>
      </x:c>
      <x:c r="K74" s="7" t="str"/>
      <x:c r="L74" s="8" t="str"/>
      <x:c r="M74" s="7" t="str"/>
      <x:c r="N74" s="7" t="str"/>
      <x:c r="O74" s="7" t="str"/>
      <x:c r="P74" s="3" t="str">
        <x:v>python -m pytest -q tests/acceptance/test_source_viewer.py
Confirm the relevant missing or incorrect behavior for the task's acceptance criteria; record the actual failing behavior and command result.</x:v>
      </x:c>
      <x:c r="Q74" s="7" t="str"/>
      <x:c r="R74" s="7" t="str"/>
      <x:c r="S74" s="7" t="str"/>
      <x:c r="T74" s="7" t="str"/>
      <x:c r="U74" s="7" t="str"/>
    </x:row>
    <x:row r="75" ht="72" customHeight="1">
      <x:c r="A75" s="3" t="str">
        <x:v>CC-E074</x:v>
      </x:c>
      <x:c r="B75" s="3" t="str">
        <x:v>CC-T018-S02: Implementation record</x:v>
      </x:c>
      <x:c r="C75" s="3" t="str">
        <x:v>Bundle PDF.js.
Open exact original pages from evidence IDs.
Highlight supported regions.
Show printed labels alongside physical page positions.
Authorize every source request.</x:v>
      </x:c>
      <x:c r="D75" s="3" t="str">
        <x:v>Local development</x:v>
      </x:c>
      <x:c r="E75" s="7" t="str">
        <x:v>Not started</x:v>
      </x:c>
      <x:c r="F75" s="7" t="str"/>
      <x:c r="G75" s="7" t="str">
        <x:v>Planned evidence requirement; no result has been observed by this tracker builder.</x:v>
      </x:c>
      <x:c r="H75" s="3" t="str">
        <x:v>Design</x:v>
      </x:c>
      <x:c r="I75" s="3" t="str">
        <x:v>["CC-T018"]</x:v>
      </x:c>
      <x:c r="J75" s="3" t="str">
        <x:v>["CC-T018-S02"]</x:v>
      </x:c>
      <x:c r="K75" s="7" t="str"/>
      <x:c r="L75" s="8" t="str"/>
      <x:c r="M75" s="7" t="str"/>
      <x:c r="N75" s="7" t="str"/>
      <x:c r="O75" s="7" t="str"/>
      <x:c r="P75" s="3" t="str">
        <x:v>Implementation covers the task-specific behavior; no claim of verification is made until S03.</x:v>
      </x:c>
      <x:c r="Q75" s="7" t="str"/>
      <x:c r="R75" s="7" t="str"/>
      <x:c r="S75" s="7" t="str"/>
      <x:c r="T75" s="7" t="str"/>
      <x:c r="U75" s="7" t="str"/>
    </x:row>
    <x:row r="76" ht="72" customHeight="1">
      <x:c r="A76" s="3" t="str">
        <x:v>CC-E075</x:v>
      </x:c>
      <x:c r="B76" s="3" t="str">
        <x:v>CC-T018-S03: Acceptance verification</x:v>
      </x:c>
      <x:c r="C76" s="3" t="str">
        <x:v>Each test citation opens the correct source and page.
A citation cannot open another Garage’s private file.
Highlight coordinates remain correct after scaling.
Transformed-copy references resolve through the page map.
Source access works offline.</x:v>
      </x:c>
      <x:c r="D76" s="3" t="str">
        <x:v>Local development</x:v>
      </x:c>
      <x:c r="E76" s="7" t="str">
        <x:v>Not started</x:v>
      </x:c>
      <x:c r="F76" s="7" t="str"/>
      <x:c r="G76" s="7" t="str">
        <x:v>Planned evidence requirement; no result has been observed by this tracker builder.</x:v>
      </x:c>
      <x:c r="H76" s="3" t="str">
        <x:v>Execution</x:v>
      </x:c>
      <x:c r="I76" s="3" t="str">
        <x:v>["CC-T018"]</x:v>
      </x:c>
      <x:c r="J76" s="3" t="str">
        <x:v>["CC-T018-S03"]</x:v>
      </x:c>
      <x:c r="K76" s="7" t="str"/>
      <x:c r="L76" s="8" t="str"/>
      <x:c r="M76" s="7" t="str"/>
      <x:c r="N76" s="7" t="str"/>
      <x:c r="O76" s="7" t="str"/>
      <x:c r="P76" s="3" t="str">
        <x:v>python -m pytest -q tests/acceptance/test_source_viewer.py
All applicable acceptance criteria pass; separately record manual-source, hardware or clean-installation observations when required.</x:v>
      </x:c>
      <x:c r="Q76" s="7" t="str"/>
      <x:c r="R76" s="7" t="str"/>
      <x:c r="S76" s="7" t="str"/>
      <x:c r="T76" s="7" t="str"/>
      <x:c r="U76" s="7" t="str"/>
    </x:row>
    <x:row r="77" ht="54" customHeight="1">
      <x:c r="A77" s="3" t="str">
        <x:v>CC-E076</x:v>
      </x:c>
      <x:c r="B77" s="3" t="str">
        <x:v>CC-T018-S04: Review and handover</x:v>
      </x:c>
      <x:c r="C77" s="3" t="str">
        <x:v>Review findings resolved or explicitly recorded; evidence links valid; tracker consistent; commit field is blank or identifies an actual commit.</x:v>
      </x:c>
      <x:c r="D77" s="3" t="str">
        <x:v>Local development</x:v>
      </x:c>
      <x:c r="E77" s="7" t="str">
        <x:v>Not started</x:v>
      </x:c>
      <x:c r="F77" s="7" t="str"/>
      <x:c r="G77" s="7" t="str">
        <x:v>Planned evidence requirement; no result has been observed by this tracker builder.</x:v>
      </x:c>
      <x:c r="H77" s="3" t="str">
        <x:v>Review</x:v>
      </x:c>
      <x:c r="I77" s="3" t="str">
        <x:v>["CC-T018"]</x:v>
      </x:c>
      <x:c r="J77" s="3" t="str">
        <x:v>["CC-T018-S04"]</x:v>
      </x:c>
      <x:c r="K77" s="7" t="str"/>
      <x:c r="L77" s="8" t="str"/>
      <x:c r="M77" s="7" t="str"/>
      <x:c r="N77" s="7" t="str"/>
      <x:c r="O77" s="7" t="str"/>
      <x:c r="P77" s="3" t="str">
        <x:v>Independent review and all required evidence resolve task acceptance; tracker and handover agree. Record only an existing commit.</x:v>
      </x:c>
      <x:c r="Q77" s="7" t="str"/>
      <x:c r="R77" s="7" t="str"/>
      <x:c r="S77" s="7" t="str"/>
      <x:c r="T77" s="7" t="str"/>
      <x:c r="U77" s="7" t="str"/>
    </x:row>
    <x:row r="78" ht="96" customHeight="1">
      <x:c r="A78" s="3" t="str">
        <x:v>CC-E077</x:v>
      </x:c>
      <x:c r="B78" s="3" t="str">
        <x:v>CC-T019-S01: Regression fixtures and observed baseline gap</x:v>
      </x:c>
      <x:c r="C78" s="3" t="str">
        <x:v>Fixtures cover these expected behaviors and demonstrate the relevant baseline gap:
A correct torque does not compensate for a missing warning.
Missing replacement instructions prevent complete approval.
A changed source or vehicle profile invalidates dependent approval.
Unapproved procedures remain visibly drafts.
Full supporting source context is accessible during review.</x:v>
      </x:c>
      <x:c r="D78" s="3" t="str">
        <x:v>Local development</x:v>
      </x:c>
      <x:c r="E78" s="7" t="str">
        <x:v>Not started</x:v>
      </x:c>
      <x:c r="F78" s="7" t="str"/>
      <x:c r="G78" s="7" t="str">
        <x:v>Planned evidence requirement; no result has been observed by this tracker builder.</x:v>
      </x:c>
      <x:c r="H78" s="3" t="str">
        <x:v>Execution</x:v>
      </x:c>
      <x:c r="I78" s="3" t="str">
        <x:v>["CC-T019"]</x:v>
      </x:c>
      <x:c r="J78" s="3" t="str">
        <x:v>["CC-T019-S01"]</x:v>
      </x:c>
      <x:c r="K78" s="7" t="str"/>
      <x:c r="L78" s="8" t="str"/>
      <x:c r="M78" s="7" t="str"/>
      <x:c r="N78" s="7" t="str"/>
      <x:c r="O78" s="7" t="str"/>
      <x:c r="P78" s="3" t="str">
        <x:v>python -m pytest -q tests/acceptance/test_procedure_completeness.py
Confirm the relevant missing or incorrect behavior for the task's acceptance criteria; record the actual failing behavior and command result.</x:v>
      </x:c>
      <x:c r="Q78" s="7" t="str"/>
      <x:c r="R78" s="7" t="str"/>
      <x:c r="S78" s="7" t="str"/>
      <x:c r="T78" s="7" t="str"/>
      <x:c r="U78" s="7" t="str"/>
    </x:row>
    <x:row r="79" ht="72" customHeight="1">
      <x:c r="A79" s="3" t="str">
        <x:v>CC-E078</x:v>
      </x:c>
      <x:c r="B79" s="3" t="str">
        <x:v>CC-T019-S02: Implementation record</x:v>
      </x:c>
      <x:c r="C79" s="3" t="str">
        <x:v>Assemble prerequisites, tools, warnings, steps, specifications and final checks.
Link every material instruction to evidence.
Track draft, approved and stale states.
Add review of missing dependencies and source conflicts.</x:v>
      </x:c>
      <x:c r="D79" s="3" t="str">
        <x:v>Local development</x:v>
      </x:c>
      <x:c r="E79" s="7" t="str">
        <x:v>Not started</x:v>
      </x:c>
      <x:c r="F79" s="7" t="str"/>
      <x:c r="G79" s="7" t="str">
        <x:v>Planned evidence requirement; no result has been observed by this tracker builder.</x:v>
      </x:c>
      <x:c r="H79" s="3" t="str">
        <x:v>Design</x:v>
      </x:c>
      <x:c r="I79" s="3" t="str">
        <x:v>["CC-T019"]</x:v>
      </x:c>
      <x:c r="J79" s="3" t="str">
        <x:v>["CC-T019-S02"]</x:v>
      </x:c>
      <x:c r="K79" s="7" t="str"/>
      <x:c r="L79" s="8" t="str"/>
      <x:c r="M79" s="7" t="str"/>
      <x:c r="N79" s="7" t="str"/>
      <x:c r="O79" s="7" t="str"/>
      <x:c r="P79" s="3" t="str">
        <x:v>Implementation covers the task-specific behavior; no claim of verification is made until S03.</x:v>
      </x:c>
      <x:c r="Q79" s="7" t="str"/>
      <x:c r="R79" s="7" t="str"/>
      <x:c r="S79" s="7" t="str"/>
      <x:c r="T79" s="7" t="str"/>
      <x:c r="U79" s="7" t="str"/>
    </x:row>
    <x:row r="80" ht="72" customHeight="1">
      <x:c r="A80" s="3" t="str">
        <x:v>CC-E079</x:v>
      </x:c>
      <x:c r="B80" s="3" t="str">
        <x:v>CC-T019-S03: Acceptance verification</x:v>
      </x:c>
      <x:c r="C80" s="3" t="str">
        <x:v>A correct torque does not compensate for a missing warning.
Missing replacement instructions prevent complete approval.
A changed source or vehicle profile invalidates dependent approval.
Unapproved procedures remain visibly drafts.
Full supporting source context is accessible during review.</x:v>
      </x:c>
      <x:c r="D80" s="3" t="str">
        <x:v>Local development</x:v>
      </x:c>
      <x:c r="E80" s="7" t="str">
        <x:v>Not started</x:v>
      </x:c>
      <x:c r="F80" s="7" t="str"/>
      <x:c r="G80" s="7" t="str">
        <x:v>Planned evidence requirement; no result has been observed by this tracker builder.</x:v>
      </x:c>
      <x:c r="H80" s="3" t="str">
        <x:v>Execution</x:v>
      </x:c>
      <x:c r="I80" s="3" t="str">
        <x:v>["CC-T019"]</x:v>
      </x:c>
      <x:c r="J80" s="3" t="str">
        <x:v>["CC-T019-S03"]</x:v>
      </x:c>
      <x:c r="K80" s="7" t="str"/>
      <x:c r="L80" s="8" t="str"/>
      <x:c r="M80" s="7" t="str"/>
      <x:c r="N80" s="7" t="str"/>
      <x:c r="O80" s="7" t="str"/>
      <x:c r="P80" s="3" t="str">
        <x:v>python -m pytest -q tests/acceptance/test_procedure_completeness.py
All applicable acceptance criteria pass; separately record manual-source, hardware or clean-installation observations when required.</x:v>
      </x:c>
      <x:c r="Q80" s="7" t="str"/>
      <x:c r="R80" s="7" t="str"/>
      <x:c r="S80" s="7" t="str"/>
      <x:c r="T80" s="7" t="str"/>
      <x:c r="U80" s="7" t="str"/>
    </x:row>
    <x:row r="81" ht="54" customHeight="1">
      <x:c r="A81" s="3" t="str">
        <x:v>CC-E080</x:v>
      </x:c>
      <x:c r="B81" s="3" t="str">
        <x:v>CC-T019-S04: Review and handover</x:v>
      </x:c>
      <x:c r="C81" s="3" t="str">
        <x:v>Review findings resolved or explicitly recorded; evidence links valid; tracker consistent; commit field is blank or identifies an actual commit.</x:v>
      </x:c>
      <x:c r="D81" s="3" t="str">
        <x:v>Local development</x:v>
      </x:c>
      <x:c r="E81" s="7" t="str">
        <x:v>Not started</x:v>
      </x:c>
      <x:c r="F81" s="7" t="str"/>
      <x:c r="G81" s="7" t="str">
        <x:v>Planned evidence requirement; no result has been observed by this tracker builder.</x:v>
      </x:c>
      <x:c r="H81" s="3" t="str">
        <x:v>Review</x:v>
      </x:c>
      <x:c r="I81" s="3" t="str">
        <x:v>["CC-T019"]</x:v>
      </x:c>
      <x:c r="J81" s="3" t="str">
        <x:v>["CC-T019-S04"]</x:v>
      </x:c>
      <x:c r="K81" s="7" t="str"/>
      <x:c r="L81" s="8" t="str"/>
      <x:c r="M81" s="7" t="str"/>
      <x:c r="N81" s="7" t="str"/>
      <x:c r="O81" s="7" t="str"/>
      <x:c r="P81" s="3" t="str">
        <x:v>Independent review and all required evidence resolve task acceptance; tracker and handover agree. Record only an existing commit.</x:v>
      </x:c>
      <x:c r="Q81" s="7" t="str"/>
      <x:c r="R81" s="7" t="str"/>
      <x:c r="S81" s="7" t="str"/>
      <x:c r="T81" s="7" t="str"/>
      <x:c r="U81" s="7" t="str"/>
    </x:row>
    <x:row r="82" ht="96" customHeight="1">
      <x:c r="A82" s="3" t="str">
        <x:v>CC-E081</x:v>
      </x:c>
      <x:c r="B82" s="3" t="str">
        <x:v>CC-T020-S01: Regression fixtures and observed baseline gap</x:v>
      </x:c>
      <x:c r="C82" s="3" t="str">
        <x:v>Fixtures cover these expected behaviors and demonstrate the relevant baseline gap:
Exported values match approved specification records.
Legends, orientation and page references remain readable.
No cross-Garage figures or data appear.
Printed output remains understandable without a running application.
Missing figures do not trigger invented diagrams.</x:v>
      </x:c>
      <x:c r="D82" s="3" t="str">
        <x:v>Local development</x:v>
      </x:c>
      <x:c r="E82" s="7" t="str">
        <x:v>Not started</x:v>
      </x:c>
      <x:c r="F82" s="7" t="str"/>
      <x:c r="G82" s="7" t="str">
        <x:v>Planned evidence requirement; no result has been observed by this tracker builder.</x:v>
      </x:c>
      <x:c r="H82" s="3" t="str">
        <x:v>Execution</x:v>
      </x:c>
      <x:c r="I82" s="3" t="str">
        <x:v>["CC-T020"]</x:v>
      </x:c>
      <x:c r="J82" s="3" t="str">
        <x:v>["CC-T020-S01"]</x:v>
      </x:c>
      <x:c r="K82" s="7" t="str"/>
      <x:c r="L82" s="8" t="str"/>
      <x:c r="M82" s="7" t="str"/>
      <x:c r="N82" s="7" t="str"/>
      <x:c r="O82" s="7" t="str"/>
      <x:c r="P82" s="3" t="str">
        <x:v>python -m pytest -q tests/acceptance/test_guide_exports.py
Confirm the relevant missing or incorrect behavior for the task's acceptance criteria; record the actual failing behavior and command result.</x:v>
      </x:c>
      <x:c r="Q82" s="7" t="str"/>
      <x:c r="R82" s="7" t="str"/>
      <x:c r="S82" s="7" t="str"/>
      <x:c r="T82" s="7" t="str"/>
      <x:c r="U82" s="7" t="str"/>
    </x:row>
    <x:row r="83" ht="72" customHeight="1">
      <x:c r="A83" s="3" t="str">
        <x:v>CC-E082</x:v>
      </x:c>
      <x:c r="B83" s="3" t="str">
        <x:v>CC-T020-S02: Implementation record</x:v>
      </x:c>
      <x:c r="C83" s="3" t="str">
        <x:v>Implement the versioned diagram contract.
Compose original figures and typed text.
Generate PDF, PNG, procedure JSON and source manifests.
Keep unsupported visual steps as cited text.
Validate export destination ownership.</x:v>
      </x:c>
      <x:c r="D83" s="3" t="str">
        <x:v>Local development</x:v>
      </x:c>
      <x:c r="E83" s="7" t="str">
        <x:v>Not started</x:v>
      </x:c>
      <x:c r="F83" s="7" t="str"/>
      <x:c r="G83" s="7" t="str">
        <x:v>Planned evidence requirement; no result has been observed by this tracker builder.</x:v>
      </x:c>
      <x:c r="H83" s="3" t="str">
        <x:v>Design</x:v>
      </x:c>
      <x:c r="I83" s="3" t="str">
        <x:v>["CC-T020"]</x:v>
      </x:c>
      <x:c r="J83" s="3" t="str">
        <x:v>["CC-T020-S02"]</x:v>
      </x:c>
      <x:c r="K83" s="7" t="str"/>
      <x:c r="L83" s="8" t="str"/>
      <x:c r="M83" s="7" t="str"/>
      <x:c r="N83" s="7" t="str"/>
      <x:c r="O83" s="7" t="str"/>
      <x:c r="P83" s="3" t="str">
        <x:v>Implementation covers the task-specific behavior; no claim of verification is made until S03.</x:v>
      </x:c>
      <x:c r="Q83" s="7" t="str"/>
      <x:c r="R83" s="7" t="str"/>
      <x:c r="S83" s="7" t="str"/>
      <x:c r="T83" s="7" t="str"/>
      <x:c r="U83" s="7" t="str"/>
    </x:row>
    <x:row r="84" ht="72" customHeight="1">
      <x:c r="A84" s="3" t="str">
        <x:v>CC-E083</x:v>
      </x:c>
      <x:c r="B84" s="3" t="str">
        <x:v>CC-T020-S03: Acceptance verification</x:v>
      </x:c>
      <x:c r="C84" s="3" t="str">
        <x:v>Exported values match approved specification records.
Legends, orientation and page references remain readable.
No cross-Garage figures or data appear.
Printed output remains understandable without a running application.
Missing figures do not trigger invented diagrams.</x:v>
      </x:c>
      <x:c r="D84" s="3" t="str">
        <x:v>Local development</x:v>
      </x:c>
      <x:c r="E84" s="7" t="str">
        <x:v>Not started</x:v>
      </x:c>
      <x:c r="F84" s="7" t="str"/>
      <x:c r="G84" s="7" t="str">
        <x:v>Planned evidence requirement; no result has been observed by this tracker builder.</x:v>
      </x:c>
      <x:c r="H84" s="3" t="str">
        <x:v>Execution</x:v>
      </x:c>
      <x:c r="I84" s="3" t="str">
        <x:v>["CC-T020"]</x:v>
      </x:c>
      <x:c r="J84" s="3" t="str">
        <x:v>["CC-T020-S03"]</x:v>
      </x:c>
      <x:c r="K84" s="7" t="str"/>
      <x:c r="L84" s="8" t="str"/>
      <x:c r="M84" s="7" t="str"/>
      <x:c r="N84" s="7" t="str"/>
      <x:c r="O84" s="7" t="str"/>
      <x:c r="P84" s="3" t="str">
        <x:v>python -m pytest -q tests/acceptance/test_guide_exports.py
All applicable acceptance criteria pass; separately record manual-source, hardware or clean-installation observations when required.</x:v>
      </x:c>
      <x:c r="Q84" s="7" t="str"/>
      <x:c r="R84" s="7" t="str"/>
      <x:c r="S84" s="7" t="str"/>
      <x:c r="T84" s="7" t="str"/>
      <x:c r="U84" s="7" t="str"/>
    </x:row>
    <x:row r="85" ht="54" customHeight="1">
      <x:c r="A85" s="3" t="str">
        <x:v>CC-E084</x:v>
      </x:c>
      <x:c r="B85" s="3" t="str">
        <x:v>CC-T020-S04: Review and handover</x:v>
      </x:c>
      <x:c r="C85" s="3" t="str">
        <x:v>Review findings resolved or explicitly recorded; evidence links valid; tracker consistent; commit field is blank or identifies an actual commit.</x:v>
      </x:c>
      <x:c r="D85" s="3" t="str">
        <x:v>Local development</x:v>
      </x:c>
      <x:c r="E85" s="7" t="str">
        <x:v>Not started</x:v>
      </x:c>
      <x:c r="F85" s="7" t="str"/>
      <x:c r="G85" s="7" t="str">
        <x:v>Planned evidence requirement; no result has been observed by this tracker builder.</x:v>
      </x:c>
      <x:c r="H85" s="3" t="str">
        <x:v>Review</x:v>
      </x:c>
      <x:c r="I85" s="3" t="str">
        <x:v>["CC-T020"]</x:v>
      </x:c>
      <x:c r="J85" s="3" t="str">
        <x:v>["CC-T020-S04"]</x:v>
      </x:c>
      <x:c r="K85" s="7" t="str"/>
      <x:c r="L85" s="8" t="str"/>
      <x:c r="M85" s="7" t="str"/>
      <x:c r="N85" s="7" t="str"/>
      <x:c r="O85" s="7" t="str"/>
      <x:c r="P85" s="3" t="str">
        <x:v>Independent review and all required evidence resolve task acceptance; tracker and handover agree. Record only an existing commit.</x:v>
      </x:c>
      <x:c r="Q85" s="7" t="str"/>
      <x:c r="R85" s="7" t="str"/>
      <x:c r="S85" s="7" t="str"/>
      <x:c r="T85" s="7" t="str"/>
      <x:c r="U85" s="7" t="str"/>
    </x:row>
    <x:row r="86" ht="96" customHeight="1">
      <x:c r="A86" s="3" t="str">
        <x:v>CC-E085</x:v>
      </x:c>
      <x:c r="B86" s="3" t="str">
        <x:v>CC-T021-S01: Regression fixtures and observed baseline gap</x:v>
      </x:c>
      <x:c r="C86" s="3" t="str">
        <x:v>Fixtures cover these expected behaviors and demonstrate the relevant baseline gap:
Missing acquisition times remain unknown.
Active, pending, historical and cleared statuses remain distinct.
Reimporting the same report is idempotent.
Malformed rows produce specific review records.
A filename does not supply unverified diagnostic meaning.</x:v>
      </x:c>
      <x:c r="D86" s="3" t="str">
        <x:v>Local development</x:v>
      </x:c>
      <x:c r="E86" s="7" t="str">
        <x:v>Not started</x:v>
      </x:c>
      <x:c r="F86" s="7" t="str"/>
      <x:c r="G86" s="7" t="str">
        <x:v>Planned evidence requirement; no result has been observed by this tracker builder.</x:v>
      </x:c>
      <x:c r="H86" s="3" t="str">
        <x:v>Execution</x:v>
      </x:c>
      <x:c r="I86" s="3" t="str">
        <x:v>["CC-T021"]</x:v>
      </x:c>
      <x:c r="J86" s="3" t="str">
        <x:v>["CC-T021-S01"]</x:v>
      </x:c>
      <x:c r="K86" s="7" t="str"/>
      <x:c r="L86" s="8" t="str"/>
      <x:c r="M86" s="7" t="str"/>
      <x:c r="N86" s="7" t="str"/>
      <x:c r="O86" s="7" t="str"/>
      <x:c r="P86" s="3" t="str">
        <x:v>python -m pytest -q tests/acceptance/test_scan_import.py
Confirm the relevant missing or incorrect behavior for the task's acceptance criteria; record the actual failing behavior and command result.</x:v>
      </x:c>
      <x:c r="Q86" s="7" t="str"/>
      <x:c r="R86" s="7" t="str"/>
      <x:c r="S86" s="7" t="str"/>
      <x:c r="T86" s="7" t="str"/>
      <x:c r="U86" s="7" t="str"/>
    </x:row>
    <x:row r="87" ht="72" customHeight="1">
      <x:c r="A87" s="3" t="str">
        <x:v>CC-E086</x:v>
      </x:c>
      <x:c r="B87" s="3" t="str">
        <x:v>CC-T021-S02: Implementation record</x:v>
      </x:c>
      <x:c r="C87" s="3" t="str">
        <x:v>Reuse and test existing supported diagnostic parsers.
Import decoded CSV and supported report formats.
Preserve originals and decoder identity.
Store modules, code status, freeze frames and measurement metadata.
Quarantine unsupported proprietary files.</x:v>
      </x:c>
      <x:c r="D87" s="3" t="str">
        <x:v>Local development</x:v>
      </x:c>
      <x:c r="E87" s="7" t="str">
        <x:v>Not started</x:v>
      </x:c>
      <x:c r="F87" s="7" t="str"/>
      <x:c r="G87" s="7" t="str">
        <x:v>Planned evidence requirement; no result has been observed by this tracker builder.</x:v>
      </x:c>
      <x:c r="H87" s="3" t="str">
        <x:v>Design</x:v>
      </x:c>
      <x:c r="I87" s="3" t="str">
        <x:v>["CC-T021"]</x:v>
      </x:c>
      <x:c r="J87" s="3" t="str">
        <x:v>["CC-T021-S02"]</x:v>
      </x:c>
      <x:c r="K87" s="7" t="str"/>
      <x:c r="L87" s="8" t="str"/>
      <x:c r="M87" s="7" t="str"/>
      <x:c r="N87" s="7" t="str"/>
      <x:c r="O87" s="7" t="str"/>
      <x:c r="P87" s="3" t="str">
        <x:v>Implementation covers the task-specific behavior; no claim of verification is made until S03.</x:v>
      </x:c>
      <x:c r="Q87" s="7" t="str"/>
      <x:c r="R87" s="7" t="str"/>
      <x:c r="S87" s="7" t="str"/>
      <x:c r="T87" s="7" t="str"/>
      <x:c r="U87" s="7" t="str"/>
    </x:row>
    <x:row r="88" ht="72" customHeight="1">
      <x:c r="A88" s="3" t="str">
        <x:v>CC-E087</x:v>
      </x:c>
      <x:c r="B88" s="3" t="str">
        <x:v>CC-T021-S03: Acceptance verification</x:v>
      </x:c>
      <x:c r="C88" s="3" t="str">
        <x:v>Missing acquisition times remain unknown.
Active, pending, historical and cleared statuses remain distinct.
Reimporting the same report is idempotent.
Malformed rows produce specific review records.
A filename does not supply unverified diagnostic meaning.</x:v>
      </x:c>
      <x:c r="D88" s="3" t="str">
        <x:v>Local development</x:v>
      </x:c>
      <x:c r="E88" s="7" t="str">
        <x:v>Not started</x:v>
      </x:c>
      <x:c r="F88" s="7" t="str"/>
      <x:c r="G88" s="7" t="str">
        <x:v>Planned evidence requirement; no result has been observed by this tracker builder.</x:v>
      </x:c>
      <x:c r="H88" s="3" t="str">
        <x:v>Execution</x:v>
      </x:c>
      <x:c r="I88" s="3" t="str">
        <x:v>["CC-T021"]</x:v>
      </x:c>
      <x:c r="J88" s="3" t="str">
        <x:v>["CC-T021-S03"]</x:v>
      </x:c>
      <x:c r="K88" s="7" t="str"/>
      <x:c r="L88" s="8" t="str"/>
      <x:c r="M88" s="7" t="str"/>
      <x:c r="N88" s="7" t="str"/>
      <x:c r="O88" s="7" t="str"/>
      <x:c r="P88" s="3" t="str">
        <x:v>python -m pytest -q tests/acceptance/test_scan_import.py
All applicable acceptance criteria pass; separately record manual-source, hardware or clean-installation observations when required.</x:v>
      </x:c>
      <x:c r="Q88" s="7" t="str"/>
      <x:c r="R88" s="7" t="str"/>
      <x:c r="S88" s="7" t="str"/>
      <x:c r="T88" s="7" t="str"/>
      <x:c r="U88" s="7" t="str"/>
    </x:row>
    <x:row r="89" ht="54" customHeight="1">
      <x:c r="A89" s="3" t="str">
        <x:v>CC-E088</x:v>
      </x:c>
      <x:c r="B89" s="3" t="str">
        <x:v>CC-T021-S04: Review and handover</x:v>
      </x:c>
      <x:c r="C89" s="3" t="str">
        <x:v>Review findings resolved or explicitly recorded; evidence links valid; tracker consistent; commit field is blank or identifies an actual commit.</x:v>
      </x:c>
      <x:c r="D89" s="3" t="str">
        <x:v>Local development</x:v>
      </x:c>
      <x:c r="E89" s="7" t="str">
        <x:v>Not started</x:v>
      </x:c>
      <x:c r="F89" s="7" t="str"/>
      <x:c r="G89" s="7" t="str">
        <x:v>Planned evidence requirement; no result has been observed by this tracker builder.</x:v>
      </x:c>
      <x:c r="H89" s="3" t="str">
        <x:v>Review</x:v>
      </x:c>
      <x:c r="I89" s="3" t="str">
        <x:v>["CC-T021"]</x:v>
      </x:c>
      <x:c r="J89" s="3" t="str">
        <x:v>["CC-T021-S04"]</x:v>
      </x:c>
      <x:c r="K89" s="7" t="str"/>
      <x:c r="L89" s="8" t="str"/>
      <x:c r="M89" s="7" t="str"/>
      <x:c r="N89" s="7" t="str"/>
      <x:c r="O89" s="7" t="str"/>
      <x:c r="P89" s="3" t="str">
        <x:v>Independent review and all required evidence resolve task acceptance; tracker and handover agree. Record only an existing commit.</x:v>
      </x:c>
      <x:c r="Q89" s="7" t="str"/>
      <x:c r="R89" s="7" t="str"/>
      <x:c r="S89" s="7" t="str"/>
      <x:c r="T89" s="7" t="str"/>
      <x:c r="U89" s="7" t="str"/>
    </x:row>
    <x:row r="90" ht="96" customHeight="1">
      <x:c r="A90" s="3" t="str">
        <x:v>CC-E089</x:v>
      </x:c>
      <x:c r="B90" s="3" t="str">
        <x:v>CC-T022-S01: Regression fixtures and observed baseline gap</x:v>
      </x:c>
      <x:c r="C90" s="3" t="str">
        <x:v>Fixtures cover these expected behaviors and demonstrate the relevant baseline gap:
Known fixtures produce exact expected differences.
Incompatible units are not silently compared.
Unknown timestamps do not create invented trends.
Session ordering does not depend on filenames.
Cleared codes do not automatically close a case as repaired.</x:v>
      </x:c>
      <x:c r="D90" s="3" t="str">
        <x:v>Local development</x:v>
      </x:c>
      <x:c r="E90" s="7" t="str">
        <x:v>Not started</x:v>
      </x:c>
      <x:c r="F90" s="7" t="str"/>
      <x:c r="G90" s="7" t="str">
        <x:v>Planned evidence requirement; no result has been observed by this tracker builder.</x:v>
      </x:c>
      <x:c r="H90" s="3" t="str">
        <x:v>Execution</x:v>
      </x:c>
      <x:c r="I90" s="3" t="str">
        <x:v>["CC-T022"]</x:v>
      </x:c>
      <x:c r="J90" s="3" t="str">
        <x:v>["CC-T022-S01"]</x:v>
      </x:c>
      <x:c r="K90" s="7" t="str"/>
      <x:c r="L90" s="8" t="str"/>
      <x:c r="M90" s="7" t="str"/>
      <x:c r="N90" s="7" t="str"/>
      <x:c r="O90" s="7" t="str"/>
      <x:c r="P90" s="3" t="str">
        <x:v>python -m pytest -q tests/acceptance/test_session_comparison.py
Confirm the relevant missing or incorrect behavior for the task's acceptance criteria; record the actual failing behavior and command result.</x:v>
      </x:c>
      <x:c r="Q90" s="7" t="str"/>
      <x:c r="R90" s="7" t="str"/>
      <x:c r="S90" s="7" t="str"/>
      <x:c r="T90" s="7" t="str"/>
      <x:c r="U90" s="7" t="str"/>
    </x:row>
    <x:row r="91" ht="72" customHeight="1">
      <x:c r="A91" s="3" t="str">
        <x:v>CC-E090</x:v>
      </x:c>
      <x:c r="B91" s="3" t="str">
        <x:v>CC-T022-S02: Implementation record</x:v>
      </x:c>
      <x:c r="C91" s="3" t="str">
        <x:v>Compare explicitly selected sessions.
Normalize supported units through tested conversion functions.
Preserve raw values.
Report unmatched or incomparable signals.
Distinguish code disappearance from verified repair success.</x:v>
      </x:c>
      <x:c r="D91" s="3" t="str">
        <x:v>Local development</x:v>
      </x:c>
      <x:c r="E91" s="7" t="str">
        <x:v>Not started</x:v>
      </x:c>
      <x:c r="F91" s="7" t="str"/>
      <x:c r="G91" s="7" t="str">
        <x:v>Planned evidence requirement; no result has been observed by this tracker builder.</x:v>
      </x:c>
      <x:c r="H91" s="3" t="str">
        <x:v>Design</x:v>
      </x:c>
      <x:c r="I91" s="3" t="str">
        <x:v>["CC-T022"]</x:v>
      </x:c>
      <x:c r="J91" s="3" t="str">
        <x:v>["CC-T022-S02"]</x:v>
      </x:c>
      <x:c r="K91" s="7" t="str"/>
      <x:c r="L91" s="8" t="str"/>
      <x:c r="M91" s="7" t="str"/>
      <x:c r="N91" s="7" t="str"/>
      <x:c r="O91" s="7" t="str"/>
      <x:c r="P91" s="3" t="str">
        <x:v>Implementation covers the task-specific behavior; no claim of verification is made until S03.</x:v>
      </x:c>
      <x:c r="Q91" s="7" t="str"/>
      <x:c r="R91" s="7" t="str"/>
      <x:c r="S91" s="7" t="str"/>
      <x:c r="T91" s="7" t="str"/>
      <x:c r="U91" s="7" t="str"/>
    </x:row>
    <x:row r="92" ht="72" customHeight="1">
      <x:c r="A92" s="3" t="str">
        <x:v>CC-E091</x:v>
      </x:c>
      <x:c r="B92" s="3" t="str">
        <x:v>CC-T022-S03: Acceptance verification</x:v>
      </x:c>
      <x:c r="C92" s="3" t="str">
        <x:v>Known fixtures produce exact expected differences.
Incompatible units are not silently compared.
Unknown timestamps do not create invented trends.
Session ordering does not depend on filenames.
Cleared codes do not automatically close a case as repaired.</x:v>
      </x:c>
      <x:c r="D92" s="3" t="str">
        <x:v>Local development</x:v>
      </x:c>
      <x:c r="E92" s="7" t="str">
        <x:v>Not started</x:v>
      </x:c>
      <x:c r="F92" s="7" t="str"/>
      <x:c r="G92" s="7" t="str">
        <x:v>Planned evidence requirement; no result has been observed by this tracker builder.</x:v>
      </x:c>
      <x:c r="H92" s="3" t="str">
        <x:v>Execution</x:v>
      </x:c>
      <x:c r="I92" s="3" t="str">
        <x:v>["CC-T022"]</x:v>
      </x:c>
      <x:c r="J92" s="3" t="str">
        <x:v>["CC-T022-S03"]</x:v>
      </x:c>
      <x:c r="K92" s="7" t="str"/>
      <x:c r="L92" s="8" t="str"/>
      <x:c r="M92" s="7" t="str"/>
      <x:c r="N92" s="7" t="str"/>
      <x:c r="O92" s="7" t="str"/>
      <x:c r="P92" s="3" t="str">
        <x:v>python -m pytest -q tests/acceptance/test_session_comparison.py
All applicable acceptance criteria pass; separately record manual-source, hardware or clean-installation observations when required.</x:v>
      </x:c>
      <x:c r="Q92" s="7" t="str"/>
      <x:c r="R92" s="7" t="str"/>
      <x:c r="S92" s="7" t="str"/>
      <x:c r="T92" s="7" t="str"/>
      <x:c r="U92" s="7" t="str"/>
    </x:row>
    <x:row r="93" ht="54" customHeight="1">
      <x:c r="A93" s="3" t="str">
        <x:v>CC-E092</x:v>
      </x:c>
      <x:c r="B93" s="3" t="str">
        <x:v>CC-T022-S04: Review and handover</x:v>
      </x:c>
      <x:c r="C93" s="3" t="str">
        <x:v>Review findings resolved or explicitly recorded; evidence links valid; tracker consistent; commit field is blank or identifies an actual commit.</x:v>
      </x:c>
      <x:c r="D93" s="3" t="str">
        <x:v>Local development</x:v>
      </x:c>
      <x:c r="E93" s="7" t="str">
        <x:v>Not started</x:v>
      </x:c>
      <x:c r="F93" s="7" t="str"/>
      <x:c r="G93" s="7" t="str">
        <x:v>Planned evidence requirement; no result has been observed by this tracker builder.</x:v>
      </x:c>
      <x:c r="H93" s="3" t="str">
        <x:v>Review</x:v>
      </x:c>
      <x:c r="I93" s="3" t="str">
        <x:v>["CC-T022"]</x:v>
      </x:c>
      <x:c r="J93" s="3" t="str">
        <x:v>["CC-T022-S04"]</x:v>
      </x:c>
      <x:c r="K93" s="7" t="str"/>
      <x:c r="L93" s="8" t="str"/>
      <x:c r="M93" s="7" t="str"/>
      <x:c r="N93" s="7" t="str"/>
      <x:c r="O93" s="7" t="str"/>
      <x:c r="P93" s="3" t="str">
        <x:v>Independent review and all required evidence resolve task acceptance; tracker and handover agree. Record only an existing commit.</x:v>
      </x:c>
      <x:c r="Q93" s="7" t="str"/>
      <x:c r="R93" s="7" t="str"/>
      <x:c r="S93" s="7" t="str"/>
      <x:c r="T93" s="7" t="str"/>
      <x:c r="U93" s="7" t="str"/>
    </x:row>
    <x:row r="94" ht="96" customHeight="1">
      <x:c r="A94" s="3" t="str">
        <x:v>CC-E093</x:v>
      </x:c>
      <x:c r="B94" s="3" t="str">
        <x:v>CC-T023-S01: Regression fixtures and observed baseline gap</x:v>
      </x:c>
      <x:c r="C94" s="3" t="str">
        <x:v>Fixtures cover these expected behaviors and demonstrate the relevant baseline gap:
A text-only provider rejects vision clearly.
Images remain within the selected Garage.
Ambiguous visual observations are labelled accordingly.
The model cannot manufacture a measurement from an image.
Upload and analysis work with internet disconnected.</x:v>
      </x:c>
      <x:c r="D94" s="3" t="str">
        <x:v>Local development; actual supported hardware for hardware gates</x:v>
      </x:c>
      <x:c r="E94" s="7" t="str">
        <x:v>Not started</x:v>
      </x:c>
      <x:c r="F94" s="7" t="str"/>
      <x:c r="G94" s="7" t="str">
        <x:v>Planned evidence requirement; no result has been observed by this tracker builder.</x:v>
      </x:c>
      <x:c r="H94" s="3" t="str">
        <x:v>Execution</x:v>
      </x:c>
      <x:c r="I94" s="3" t="str">
        <x:v>["CC-T023"]</x:v>
      </x:c>
      <x:c r="J94" s="3" t="str">
        <x:v>["CC-T023-S01"]</x:v>
      </x:c>
      <x:c r="K94" s="7" t="str"/>
      <x:c r="L94" s="8" t="str"/>
      <x:c r="M94" s="7" t="str"/>
      <x:c r="N94" s="7" t="str"/>
      <x:c r="O94" s="7" t="str"/>
      <x:c r="P94" s="3" t="str">
        <x:v>python -m pytest -q tests/acceptance/test_vision_evidence.py
Confirm the relevant missing or incorrect behavior for the task's acceptance criteria; record the actual failing behavior and command result.</x:v>
      </x:c>
      <x:c r="Q94" s="7" t="str"/>
      <x:c r="R94" s="7" t="str"/>
      <x:c r="S94" s="7" t="str"/>
      <x:c r="T94" s="7" t="str"/>
      <x:c r="U94" s="7" t="str"/>
    </x:row>
    <x:row r="95" ht="72" customHeight="1">
      <x:c r="A95" s="3" t="str">
        <x:v>CC-E094</x:v>
      </x:c>
      <x:c r="B95" s="3" t="str">
        <x:v>CC-T023-S02: Implementation record</x:v>
      </x:c>
      <x:c r="C95" s="3" t="str">
        <x:v>Add image uploads scoped to a Garage and case.
Validate image type and decode limits.
Submit local image data through the tested provider format.
Record image-derived observations separately from confirmed findings.
Preserve attachment provenance.</x:v>
      </x:c>
      <x:c r="D95" s="3" t="str">
        <x:v>Local development; actual supported hardware for hardware gates</x:v>
      </x:c>
      <x:c r="E95" s="7" t="str">
        <x:v>Not started</x:v>
      </x:c>
      <x:c r="F95" s="7" t="str"/>
      <x:c r="G95" s="7" t="str">
        <x:v>Planned evidence requirement; no result has been observed by this tracker builder.</x:v>
      </x:c>
      <x:c r="H95" s="3" t="str">
        <x:v>Design</x:v>
      </x:c>
      <x:c r="I95" s="3" t="str">
        <x:v>["CC-T023"]</x:v>
      </x:c>
      <x:c r="J95" s="3" t="str">
        <x:v>["CC-T023-S02"]</x:v>
      </x:c>
      <x:c r="K95" s="7" t="str"/>
      <x:c r="L95" s="8" t="str"/>
      <x:c r="M95" s="7" t="str"/>
      <x:c r="N95" s="7" t="str"/>
      <x:c r="O95" s="7" t="str"/>
      <x:c r="P95" s="3" t="str">
        <x:v>Implementation covers the task-specific behavior; no claim of verification is made until S03.</x:v>
      </x:c>
      <x:c r="Q95" s="7" t="str"/>
      <x:c r="R95" s="7" t="str"/>
      <x:c r="S95" s="7" t="str"/>
      <x:c r="T95" s="7" t="str"/>
      <x:c r="U95" s="7" t="str"/>
    </x:row>
    <x:row r="96" ht="72" customHeight="1">
      <x:c r="A96" s="3" t="str">
        <x:v>CC-E095</x:v>
      </x:c>
      <x:c r="B96" s="3" t="str">
        <x:v>CC-T023-S03: Acceptance verification</x:v>
      </x:c>
      <x:c r="C96" s="3" t="str">
        <x:v>A text-only provider rejects vision clearly.
Images remain within the selected Garage.
Ambiguous visual observations are labelled accordingly.
The model cannot manufacture a measurement from an image.
Upload and analysis work with internet disconnected.</x:v>
      </x:c>
      <x:c r="D96" s="3" t="str">
        <x:v>Local development; actual supported hardware for hardware gates</x:v>
      </x:c>
      <x:c r="E96" s="7" t="str">
        <x:v>Not started</x:v>
      </x:c>
      <x:c r="F96" s="7" t="str"/>
      <x:c r="G96" s="7" t="str">
        <x:v>Planned evidence requirement; no result has been observed by this tracker builder.</x:v>
      </x:c>
      <x:c r="H96" s="3" t="str">
        <x:v>Execution</x:v>
      </x:c>
      <x:c r="I96" s="3" t="str">
        <x:v>["CC-T023"]</x:v>
      </x:c>
      <x:c r="J96" s="3" t="str">
        <x:v>["CC-T023-S03"]</x:v>
      </x:c>
      <x:c r="K96" s="7" t="str"/>
      <x:c r="L96" s="8" t="str"/>
      <x:c r="M96" s="7" t="str"/>
      <x:c r="N96" s="7" t="str"/>
      <x:c r="O96" s="7" t="str"/>
      <x:c r="P96" s="3" t="str">
        <x:v>python -m pytest -q tests/acceptance/test_vision_evidence.py
All applicable acceptance criteria pass; separately record manual-source, hardware or clean-installation observations when required.</x:v>
      </x:c>
      <x:c r="Q96" s="7" t="str"/>
      <x:c r="R96" s="7" t="str"/>
      <x:c r="S96" s="7" t="str"/>
      <x:c r="T96" s="7" t="str"/>
      <x:c r="U96" s="7" t="str"/>
    </x:row>
    <x:row r="97" ht="54" customHeight="1">
      <x:c r="A97" s="3" t="str">
        <x:v>CC-E096</x:v>
      </x:c>
      <x:c r="B97" s="3" t="str">
        <x:v>CC-T023-S04: Review and handover</x:v>
      </x:c>
      <x:c r="C97" s="3" t="str">
        <x:v>Review findings resolved or explicitly recorded; evidence links valid; tracker consistent; commit field is blank or identifies an actual commit.</x:v>
      </x:c>
      <x:c r="D97" s="3" t="str">
        <x:v>Local development; actual supported hardware for hardware gates</x:v>
      </x:c>
      <x:c r="E97" s="7" t="str">
        <x:v>Not started</x:v>
      </x:c>
      <x:c r="F97" s="7" t="str"/>
      <x:c r="G97" s="7" t="str">
        <x:v>Planned evidence requirement; no result has been observed by this tracker builder.</x:v>
      </x:c>
      <x:c r="H97" s="3" t="str">
        <x:v>Review</x:v>
      </x:c>
      <x:c r="I97" s="3" t="str">
        <x:v>["CC-T023"]</x:v>
      </x:c>
      <x:c r="J97" s="3" t="str">
        <x:v>["CC-T023-S04"]</x:v>
      </x:c>
      <x:c r="K97" s="7" t="str"/>
      <x:c r="L97" s="8" t="str"/>
      <x:c r="M97" s="7" t="str"/>
      <x:c r="N97" s="7" t="str"/>
      <x:c r="O97" s="7" t="str"/>
      <x:c r="P97" s="3" t="str">
        <x:v>Independent review and all required evidence resolve task acceptance; tracker and handover agree. Record only an existing commit.</x:v>
      </x:c>
      <x:c r="Q97" s="7" t="str"/>
      <x:c r="R97" s="7" t="str"/>
      <x:c r="S97" s="7" t="str"/>
      <x:c r="T97" s="7" t="str"/>
      <x:c r="U97" s="7" t="str"/>
    </x:row>
    <x:row r="98" ht="96" customHeight="1">
      <x:c r="A98" s="3" t="str">
        <x:v>CC-E097</x:v>
      </x:c>
      <x:c r="B98" s="3" t="str">
        <x:v>CC-T024-S01: Regression fixtures and observed baseline gap</x:v>
      </x:c>
      <x:c r="C98" s="3" t="str">
        <x:v>Fixtures cover these expected behaviors and demonstrate the relevant baseline gap:
Historical DTCs are not presented as current without evidence.
Hypotheses remain distinct from findings.
A diagnosis cannot invent measurements.
A DTC does not directly become a parts-replacement recommendation.
Case history survives restart and remains vehicle-scoped.</x:v>
      </x:c>
      <x:c r="D98" s="3" t="str">
        <x:v>Local development</x:v>
      </x:c>
      <x:c r="E98" s="7" t="str">
        <x:v>Not started</x:v>
      </x:c>
      <x:c r="F98" s="7" t="str"/>
      <x:c r="G98" s="7" t="str">
        <x:v>Planned evidence requirement; no result has been observed by this tracker builder.</x:v>
      </x:c>
      <x:c r="H98" s="3" t="str">
        <x:v>Execution</x:v>
      </x:c>
      <x:c r="I98" s="3" t="str">
        <x:v>["CC-T024"]</x:v>
      </x:c>
      <x:c r="J98" s="3" t="str">
        <x:v>["CC-T024-S01"]</x:v>
      </x:c>
      <x:c r="K98" s="7" t="str"/>
      <x:c r="L98" s="8" t="str"/>
      <x:c r="M98" s="7" t="str"/>
      <x:c r="N98" s="7" t="str"/>
      <x:c r="O98" s="7" t="str"/>
      <x:c r="P98" s="3" t="str">
        <x:v>python -m pytest -q tests/acceptance/test_diagnostic_cases.py
Confirm the relevant missing or incorrect behavior for the task's acceptance criteria; record the actual failing behavior and command result.</x:v>
      </x:c>
      <x:c r="Q98" s="7" t="str"/>
      <x:c r="R98" s="7" t="str"/>
      <x:c r="S98" s="7" t="str"/>
      <x:c r="T98" s="7" t="str"/>
      <x:c r="U98" s="7" t="str"/>
    </x:row>
    <x:row r="99" ht="72" customHeight="1">
      <x:c r="A99" s="3" t="str">
        <x:v>CC-E098</x:v>
      </x:c>
      <x:c r="B99" s="3" t="str">
        <x:v>CC-T024-S02: Implementation record</x:v>
      </x:c>
      <x:c r="C99" s="3" t="str">
        <x:v>Persist symptoms, observations, hypotheses and test outcomes.
Combine source evidence with selected historical sessions.
Produce ranked hypotheses and supported next tests.
Link procedures and measurements to the case.
Attribute user-recorded outcomes.</x:v>
      </x:c>
      <x:c r="D99" s="3" t="str">
        <x:v>Local development</x:v>
      </x:c>
      <x:c r="E99" s="7" t="str">
        <x:v>Not started</x:v>
      </x:c>
      <x:c r="F99" s="7" t="str"/>
      <x:c r="G99" s="7" t="str">
        <x:v>Planned evidence requirement; no result has been observed by this tracker builder.</x:v>
      </x:c>
      <x:c r="H99" s="3" t="str">
        <x:v>Design</x:v>
      </x:c>
      <x:c r="I99" s="3" t="str">
        <x:v>["CC-T024"]</x:v>
      </x:c>
      <x:c r="J99" s="3" t="str">
        <x:v>["CC-T024-S02"]</x:v>
      </x:c>
      <x:c r="K99" s="7" t="str"/>
      <x:c r="L99" s="8" t="str"/>
      <x:c r="M99" s="7" t="str"/>
      <x:c r="N99" s="7" t="str"/>
      <x:c r="O99" s="7" t="str"/>
      <x:c r="P99" s="3" t="str">
        <x:v>Implementation covers the task-specific behavior; no claim of verification is made until S03.</x:v>
      </x:c>
      <x:c r="Q99" s="7" t="str"/>
      <x:c r="R99" s="7" t="str"/>
      <x:c r="S99" s="7" t="str"/>
      <x:c r="T99" s="7" t="str"/>
      <x:c r="U99" s="7" t="str"/>
    </x:row>
    <x:row r="100" ht="72" customHeight="1">
      <x:c r="A100" s="3" t="str">
        <x:v>CC-E099</x:v>
      </x:c>
      <x:c r="B100" s="3" t="str">
        <x:v>CC-T024-S03: Acceptance verification</x:v>
      </x:c>
      <x:c r="C100" s="3" t="str">
        <x:v>Historical DTCs are not presented as current without evidence.
Hypotheses remain distinct from findings.
A diagnosis cannot invent measurements.
A DTC does not directly become a parts-replacement recommendation.
Case history survives restart and remains vehicle-scoped.</x:v>
      </x:c>
      <x:c r="D100" s="3" t="str">
        <x:v>Local development</x:v>
      </x:c>
      <x:c r="E100" s="7" t="str">
        <x:v>Not started</x:v>
      </x:c>
      <x:c r="F100" s="7" t="str"/>
      <x:c r="G100" s="7" t="str">
        <x:v>Planned evidence requirement; no result has been observed by this tracker builder.</x:v>
      </x:c>
      <x:c r="H100" s="3" t="str">
        <x:v>Execution</x:v>
      </x:c>
      <x:c r="I100" s="3" t="str">
        <x:v>["CC-T024"]</x:v>
      </x:c>
      <x:c r="J100" s="3" t="str">
        <x:v>["CC-T024-S03"]</x:v>
      </x:c>
      <x:c r="K100" s="7" t="str"/>
      <x:c r="L100" s="8" t="str"/>
      <x:c r="M100" s="7" t="str"/>
      <x:c r="N100" s="7" t="str"/>
      <x:c r="O100" s="7" t="str"/>
      <x:c r="P100" s="3" t="str">
        <x:v>python -m pytest -q tests/acceptance/test_diagnostic_cases.py
All applicable acceptance criteria pass; separately record manual-source, hardware or clean-installation observations when required.</x:v>
      </x:c>
      <x:c r="Q100" s="7" t="str"/>
      <x:c r="R100" s="7" t="str"/>
      <x:c r="S100" s="7" t="str"/>
      <x:c r="T100" s="7" t="str"/>
      <x:c r="U100" s="7" t="str"/>
    </x:row>
    <x:row r="101" ht="54" customHeight="1">
      <x:c r="A101" s="3" t="str">
        <x:v>CC-E100</x:v>
      </x:c>
      <x:c r="B101" s="3" t="str">
        <x:v>CC-T024-S04: Review and handover</x:v>
      </x:c>
      <x:c r="C101" s="3" t="str">
        <x:v>Review findings resolved or explicitly recorded; evidence links valid; tracker consistent; commit field is blank or identifies an actual commit.</x:v>
      </x:c>
      <x:c r="D101" s="3" t="str">
        <x:v>Local development</x:v>
      </x:c>
      <x:c r="E101" s="7" t="str">
        <x:v>Not started</x:v>
      </x:c>
      <x:c r="F101" s="7" t="str"/>
      <x:c r="G101" s="7" t="str">
        <x:v>Planned evidence requirement; no result has been observed by this tracker builder.</x:v>
      </x:c>
      <x:c r="H101" s="3" t="str">
        <x:v>Review</x:v>
      </x:c>
      <x:c r="I101" s="3" t="str">
        <x:v>["CC-T024"]</x:v>
      </x:c>
      <x:c r="J101" s="3" t="str">
        <x:v>["CC-T024-S04"]</x:v>
      </x:c>
      <x:c r="K101" s="7" t="str"/>
      <x:c r="L101" s="8" t="str"/>
      <x:c r="M101" s="7" t="str"/>
      <x:c r="N101" s="7" t="str"/>
      <x:c r="O101" s="7" t="str"/>
      <x:c r="P101" s="3" t="str">
        <x:v>Independent review and all required evidence resolve task acceptance; tracker and handover agree. Record only an existing commit.</x:v>
      </x:c>
      <x:c r="Q101" s="7" t="str"/>
      <x:c r="R101" s="7" t="str"/>
      <x:c r="S101" s="7" t="str"/>
      <x:c r="T101" s="7" t="str"/>
      <x:c r="U101" s="7" t="str"/>
    </x:row>
    <x:row r="102" ht="120" customHeight="1">
      <x:c r="A102" s="3" t="str">
        <x:v>CC-E101</x:v>
      </x:c>
      <x:c r="B102" s="3" t="str">
        <x:v>CC-T025-S01: Regression fixtures and observed baseline gap</x:v>
      </x:c>
      <x:c r="C102" s="3" t="str">
        <x:v>Fixtures cover these expected behaviors and demonstrate the relevant baseline gap:
A reviewer can trace every material instruction to the applicable original.
Component identity, warnings, specification stages, figures and final checks are complete.
Missing or conflicting evidence produces the correct withholding state.
The pilot’s observed results are recorded separately from synthetic tests.</x:v>
      </x:c>
      <x:c r="D102" s="3" t="str">
        <x:v>Local development and applicable original manual review</x:v>
      </x:c>
      <x:c r="E102" s="7" t="str">
        <x:v>Not started</x:v>
      </x:c>
      <x:c r="F102" s="7" t="str"/>
      <x:c r="G102" s="7" t="str">
        <x:v>Planned evidence requirement; no result has been observed by this tracker builder.</x:v>
      </x:c>
      <x:c r="H102" s="3" t="str">
        <x:v>Execution</x:v>
      </x:c>
      <x:c r="I102" s="3" t="str">
        <x:v>["CC-T025"]</x:v>
      </x:c>
      <x:c r="J102" s="3" t="str">
        <x:v>["CC-T025-S01"]</x:v>
      </x:c>
      <x:c r="K102" s="7" t="str"/>
      <x:c r="L102" s="8" t="str"/>
      <x:c r="M102" s="7" t="str"/>
      <x:c r="N102" s="7" t="str"/>
      <x:c r="O102" s="7" t="str"/>
      <x:c r="P102" s="3" t="str">
        <x:v>python -m pytest -q tests/acceptance/test_pilot_workflow.py
Confirm the relevant missing or incorrect behavior for the task's acceptance criteria; record the actual failing behavior and command result.</x:v>
      </x:c>
      <x:c r="Q102" s="7" t="str"/>
      <x:c r="R102" s="7" t="str"/>
      <x:c r="S102" s="7" t="str"/>
      <x:c r="T102" s="7" t="str"/>
      <x:c r="U102" s="7" t="str"/>
    </x:row>
    <x:row r="103" ht="84" customHeight="1">
      <x:c r="A103" s="3" t="str">
        <x:v>CC-E102</x:v>
      </x:c>
      <x:c r="B103" s="3" t="str">
        <x:v>CC-T025-S02: Implementation record</x:v>
      </x:c>
      <x:c r="C103" s="3" t="str">
        <x:v>Use a brake procedure only after its exact vehicle applicability is confirmed.
Reconcile its complete original source context.
Exercise source import, retrieval, answer, procedure review and illustrated export.
Repeat with deliberately missing and conflicting evidence.</x:v>
      </x:c>
      <x:c r="D103" s="3" t="str">
        <x:v>Local development and applicable original manual review</x:v>
      </x:c>
      <x:c r="E103" s="7" t="str">
        <x:v>Not started</x:v>
      </x:c>
      <x:c r="F103" s="7" t="str"/>
      <x:c r="G103" s="7" t="str">
        <x:v>Planned evidence requirement; no result has been observed by this tracker builder.</x:v>
      </x:c>
      <x:c r="H103" s="3" t="str">
        <x:v>Design</x:v>
      </x:c>
      <x:c r="I103" s="3" t="str">
        <x:v>["CC-T025"]</x:v>
      </x:c>
      <x:c r="J103" s="3" t="str">
        <x:v>["CC-T025-S02"]</x:v>
      </x:c>
      <x:c r="K103" s="7" t="str"/>
      <x:c r="L103" s="8" t="str"/>
      <x:c r="M103" s="7" t="str"/>
      <x:c r="N103" s="7" t="str"/>
      <x:c r="O103" s="7" t="str"/>
      <x:c r="P103" s="3" t="str">
        <x:v>Implementation covers the task-specific behavior; no claim of verification is made until S03.</x:v>
      </x:c>
      <x:c r="Q103" s="7" t="str"/>
      <x:c r="R103" s="7" t="str"/>
      <x:c r="S103" s="7" t="str"/>
      <x:c r="T103" s="7" t="str"/>
      <x:c r="U103" s="7" t="str"/>
    </x:row>
    <x:row r="104" ht="96" customHeight="1">
      <x:c r="A104" s="3" t="str">
        <x:v>CC-E103</x:v>
      </x:c>
      <x:c r="B104" s="3" t="str">
        <x:v>CC-T025-S03: Acceptance verification</x:v>
      </x:c>
      <x:c r="C104" s="3" t="str">
        <x:v>A reviewer can trace every material instruction to the applicable original.
Component identity, warnings, specification stages, figures and final checks are complete.
Missing or conflicting evidence produces the correct withholding state.
The pilot’s observed results are recorded separately from synthetic tests.</x:v>
      </x:c>
      <x:c r="D104" s="3" t="str">
        <x:v>Local development and applicable original manual review</x:v>
      </x:c>
      <x:c r="E104" s="7" t="str">
        <x:v>Not started</x:v>
      </x:c>
      <x:c r="F104" s="7" t="str"/>
      <x:c r="G104" s="7" t="str">
        <x:v>Planned evidence requirement; no result has been observed by this tracker builder.</x:v>
      </x:c>
      <x:c r="H104" s="3" t="str">
        <x:v>Execution</x:v>
      </x:c>
      <x:c r="I104" s="3" t="str">
        <x:v>["CC-T025"]</x:v>
      </x:c>
      <x:c r="J104" s="3" t="str">
        <x:v>["CC-T025-S03"]</x:v>
      </x:c>
      <x:c r="K104" s="7" t="str"/>
      <x:c r="L104" s="8" t="str"/>
      <x:c r="M104" s="7" t="str"/>
      <x:c r="N104" s="7" t="str"/>
      <x:c r="O104" s="7" t="str"/>
      <x:c r="P104" s="3" t="str">
        <x:v>python -m pytest -q tests/acceptance/test_pilot_workflow.py
All applicable acceptance criteria pass; separately record manual-source, hardware or clean-installation observations when required.</x:v>
      </x:c>
      <x:c r="Q104" s="7" t="str"/>
      <x:c r="R104" s="7" t="str"/>
      <x:c r="S104" s="7" t="str"/>
      <x:c r="T104" s="7" t="str"/>
      <x:c r="U104" s="7" t="str"/>
    </x:row>
    <x:row r="105" ht="54" customHeight="1">
      <x:c r="A105" s="3" t="str">
        <x:v>CC-E104</x:v>
      </x:c>
      <x:c r="B105" s="3" t="str">
        <x:v>CC-T025-S04: Review and handover</x:v>
      </x:c>
      <x:c r="C105" s="3" t="str">
        <x:v>Review findings resolved or explicitly recorded; evidence links valid; tracker consistent; commit field is blank or identifies an actual commit.</x:v>
      </x:c>
      <x:c r="D105" s="3" t="str">
        <x:v>Local development and applicable original manual review</x:v>
      </x:c>
      <x:c r="E105" s="7" t="str">
        <x:v>Not started</x:v>
      </x:c>
      <x:c r="F105" s="7" t="str"/>
      <x:c r="G105" s="7" t="str">
        <x:v>Planned evidence requirement; no result has been observed by this tracker builder.</x:v>
      </x:c>
      <x:c r="H105" s="3" t="str">
        <x:v>Review</x:v>
      </x:c>
      <x:c r="I105" s="3" t="str">
        <x:v>["CC-T025"]</x:v>
      </x:c>
      <x:c r="J105" s="3" t="str">
        <x:v>["CC-T025-S04"]</x:v>
      </x:c>
      <x:c r="K105" s="7" t="str"/>
      <x:c r="L105" s="8" t="str"/>
      <x:c r="M105" s="7" t="str"/>
      <x:c r="N105" s="7" t="str"/>
      <x:c r="O105" s="7" t="str"/>
      <x:c r="P105" s="3" t="str">
        <x:v>Independent review and all required evidence resolve task acceptance; tracker and handover agree. Record only an existing commit.</x:v>
      </x:c>
      <x:c r="Q105" s="7" t="str"/>
      <x:c r="R105" s="7" t="str"/>
      <x:c r="S105" s="7" t="str"/>
      <x:c r="T105" s="7" t="str"/>
      <x:c r="U105" s="7" t="str"/>
    </x:row>
    <x:row r="106" ht="96" customHeight="1">
      <x:c r="A106" s="3" t="str">
        <x:v>CC-E105</x:v>
      </x:c>
      <x:c r="B106" s="3" t="str">
        <x:v>CC-T026-S01: Regression fixtures and observed baseline gap</x:v>
      </x:c>
      <x:c r="C106" s="3" t="str">
        <x:v>Fixtures cover these expected behaviors and demonstrate the relevant baseline gap:
Each published source has provenance and applicability records.
The potentially incompatible transmission material remains excluded until resolved.
Coverage gaps remain explicit.
New sources do not regress the pilot’s results.</x:v>
      </x:c>
      <x:c r="D106" s="3" t="str">
        <x:v>Local development and applicable original manual review</x:v>
      </x:c>
      <x:c r="E106" s="7" t="str">
        <x:v>Not started</x:v>
      </x:c>
      <x:c r="F106" s="7" t="str"/>
      <x:c r="G106" s="7" t="str">
        <x:v>Planned evidence requirement; no result has been observed by this tracker builder.</x:v>
      </x:c>
      <x:c r="H106" s="3" t="str">
        <x:v>Execution</x:v>
      </x:c>
      <x:c r="I106" s="3" t="str">
        <x:v>["CC-T026"]</x:v>
      </x:c>
      <x:c r="J106" s="3" t="str">
        <x:v>["CC-T026-S01"]</x:v>
      </x:c>
      <x:c r="K106" s="7" t="str"/>
      <x:c r="L106" s="8" t="str"/>
      <x:c r="M106" s="7" t="str"/>
      <x:c r="N106" s="7" t="str"/>
      <x:c r="O106" s="7" t="str"/>
      <x:c r="P106" s="3" t="str">
        <x:v>python -m pytest -q tests/acceptance/test_corpus_expansion.py
Confirm the relevant missing or incorrect behavior for the task's acceptance criteria; record the actual failing behavior and command result.</x:v>
      </x:c>
      <x:c r="Q106" s="7" t="str"/>
      <x:c r="R106" s="7" t="str"/>
      <x:c r="S106" s="7" t="str"/>
      <x:c r="T106" s="7" t="str"/>
      <x:c r="U106" s="7" t="str"/>
    </x:row>
    <x:row r="107" ht="72" customHeight="1">
      <x:c r="A107" s="3" t="str">
        <x:v>CC-E106</x:v>
      </x:c>
      <x:c r="B107" s="3" t="str">
        <x:v>CC-T026-S02: Implementation record</x:v>
      </x:c>
      <x:c r="C107" s="3" t="str">
        <x:v>Add engine, transmission, electrical and wiring material through the same pipeline.
Review source applicability and completeness per document.
Maintain a coverage matrix.
Add wrong-variant distractors to evaluation fixtures.</x:v>
      </x:c>
      <x:c r="D107" s="3" t="str">
        <x:v>Local development and applicable original manual review</x:v>
      </x:c>
      <x:c r="E107" s="7" t="str">
        <x:v>Not started</x:v>
      </x:c>
      <x:c r="F107" s="7" t="str"/>
      <x:c r="G107" s="7" t="str">
        <x:v>Planned evidence requirement; no result has been observed by this tracker builder.</x:v>
      </x:c>
      <x:c r="H107" s="3" t="str">
        <x:v>Design</x:v>
      </x:c>
      <x:c r="I107" s="3" t="str">
        <x:v>["CC-T026"]</x:v>
      </x:c>
      <x:c r="J107" s="3" t="str">
        <x:v>["CC-T026-S02"]</x:v>
      </x:c>
      <x:c r="K107" s="7" t="str"/>
      <x:c r="L107" s="8" t="str"/>
      <x:c r="M107" s="7" t="str"/>
      <x:c r="N107" s="7" t="str"/>
      <x:c r="O107" s="7" t="str"/>
      <x:c r="P107" s="3" t="str">
        <x:v>Implementation covers the task-specific behavior; no claim of verification is made until S03.</x:v>
      </x:c>
      <x:c r="Q107" s="7" t="str"/>
      <x:c r="R107" s="7" t="str"/>
      <x:c r="S107" s="7" t="str"/>
      <x:c r="T107" s="7" t="str"/>
      <x:c r="U107" s="7" t="str"/>
    </x:row>
    <x:row r="108" ht="72" customHeight="1">
      <x:c r="A108" s="3" t="str">
        <x:v>CC-E107</x:v>
      </x:c>
      <x:c r="B108" s="3" t="str">
        <x:v>CC-T026-S03: Acceptance verification</x:v>
      </x:c>
      <x:c r="C108" s="3" t="str">
        <x:v>Each published source has provenance and applicability records.
The potentially incompatible transmission material remains excluded until resolved.
Coverage gaps remain explicit.
New sources do not regress the pilot’s results.</x:v>
      </x:c>
      <x:c r="D108" s="3" t="str">
        <x:v>Local development and applicable original manual review</x:v>
      </x:c>
      <x:c r="E108" s="7" t="str">
        <x:v>Not started</x:v>
      </x:c>
      <x:c r="F108" s="7" t="str"/>
      <x:c r="G108" s="7" t="str">
        <x:v>Planned evidence requirement; no result has been observed by this tracker builder.</x:v>
      </x:c>
      <x:c r="H108" s="3" t="str">
        <x:v>Execution</x:v>
      </x:c>
      <x:c r="I108" s="3" t="str">
        <x:v>["CC-T026"]</x:v>
      </x:c>
      <x:c r="J108" s="3" t="str">
        <x:v>["CC-T026-S03"]</x:v>
      </x:c>
      <x:c r="K108" s="7" t="str"/>
      <x:c r="L108" s="8" t="str"/>
      <x:c r="M108" s="7" t="str"/>
      <x:c r="N108" s="7" t="str"/>
      <x:c r="O108" s="7" t="str"/>
      <x:c r="P108" s="3" t="str">
        <x:v>python -m pytest -q tests/acceptance/test_corpus_expansion.py
All applicable acceptance criteria pass; separately record manual-source, hardware or clean-installation observations when required.</x:v>
      </x:c>
      <x:c r="Q108" s="7" t="str"/>
      <x:c r="R108" s="7" t="str"/>
      <x:c r="S108" s="7" t="str"/>
      <x:c r="T108" s="7" t="str"/>
      <x:c r="U108" s="7" t="str"/>
    </x:row>
    <x:row r="109" ht="54" customHeight="1">
      <x:c r="A109" s="3" t="str">
        <x:v>CC-E108</x:v>
      </x:c>
      <x:c r="B109" s="3" t="str">
        <x:v>CC-T026-S04: Review and handover</x:v>
      </x:c>
      <x:c r="C109" s="3" t="str">
        <x:v>Review findings resolved or explicitly recorded; evidence links valid; tracker consistent; commit field is blank or identifies an actual commit.</x:v>
      </x:c>
      <x:c r="D109" s="3" t="str">
        <x:v>Local development and applicable original manual review</x:v>
      </x:c>
      <x:c r="E109" s="7" t="str">
        <x:v>Not started</x:v>
      </x:c>
      <x:c r="F109" s="7" t="str"/>
      <x:c r="G109" s="7" t="str">
        <x:v>Planned evidence requirement; no result has been observed by this tracker builder.</x:v>
      </x:c>
      <x:c r="H109" s="3" t="str">
        <x:v>Review</x:v>
      </x:c>
      <x:c r="I109" s="3" t="str">
        <x:v>["CC-T026"]</x:v>
      </x:c>
      <x:c r="J109" s="3" t="str">
        <x:v>["CC-T026-S04"]</x:v>
      </x:c>
      <x:c r="K109" s="7" t="str"/>
      <x:c r="L109" s="8" t="str"/>
      <x:c r="M109" s="7" t="str"/>
      <x:c r="N109" s="7" t="str"/>
      <x:c r="O109" s="7" t="str"/>
      <x:c r="P109" s="3" t="str">
        <x:v>Independent review and all required evidence resolve task acceptance; tracker and handover agree. Record only an existing commit.</x:v>
      </x:c>
      <x:c r="Q109" s="7" t="str"/>
      <x:c r="R109" s="7" t="str"/>
      <x:c r="S109" s="7" t="str"/>
      <x:c r="T109" s="7" t="str"/>
      <x:c r="U109" s="7" t="str"/>
    </x:row>
    <x:row r="110" ht="108" customHeight="1">
      <x:c r="A110" s="3" t="str">
        <x:v>CC-E109</x:v>
      </x:c>
      <x:c r="B110" s="3" t="str">
        <x:v>CC-T027-S01: Regression fixtures and observed baseline gap</x:v>
      </x:c>
      <x:c r="C110" s="3" t="str">
        <x:v>Fixtures cover these expected behaviors and demonstrate the relevant baseline gap:
Internet-disconnected search, answers, images, citations and exports work.
LAN is disabled by default.
Unauthenticated clients cannot access vehicle data.
Model ports are not exposed to the LAN.
Network observation finds no unexpected public connections.</x:v>
      </x:c>
      <x:c r="D110" s="3" t="str">
        <x:v>Local machine and authenticated LAN/offline test environment</x:v>
      </x:c>
      <x:c r="E110" s="7" t="str">
        <x:v>Not started</x:v>
      </x:c>
      <x:c r="F110" s="7" t="str"/>
      <x:c r="G110" s="7" t="str">
        <x:v>Planned evidence requirement; no result has been observed by this tracker builder.</x:v>
      </x:c>
      <x:c r="H110" s="3" t="str">
        <x:v>Execution</x:v>
      </x:c>
      <x:c r="I110" s="3" t="str">
        <x:v>["CC-T027"]</x:v>
      </x:c>
      <x:c r="J110" s="3" t="str">
        <x:v>["CC-T027-S01"]</x:v>
      </x:c>
      <x:c r="K110" s="7" t="str"/>
      <x:c r="L110" s="8" t="str"/>
      <x:c r="M110" s="7" t="str"/>
      <x:c r="N110" s="7" t="str"/>
      <x:c r="O110" s="7" t="str"/>
      <x:c r="P110" s="3" t="str">
        <x:v>python -m pytest -q tests/acceptance/test_offline_and_lan.py
Confirm the relevant missing or incorrect behavior for the task's acceptance criteria; record the actual failing behavior and command result.</x:v>
      </x:c>
      <x:c r="Q110" s="7" t="str"/>
      <x:c r="R110" s="7" t="str"/>
      <x:c r="S110" s="7" t="str"/>
      <x:c r="T110" s="7" t="str"/>
      <x:c r="U110" s="7" t="str"/>
    </x:row>
    <x:row r="111" ht="72" customHeight="1">
      <x:c r="A111" s="3" t="str">
        <x:v>CC-E110</x:v>
      </x:c>
      <x:c r="B111" s="3" t="str">
        <x:v>CC-T027-S02: Implementation record</x:v>
      </x:c>
      <x:c r="C111" s="3" t="str">
        <x:v>Enforce local-only endpoint policy.
Remove runtime CDN, telemetry and cloud routing dependencies.
Add owner authentication and optional LAN HTTPS.
Keep all model and database services private.
Document client trust setup.</x:v>
      </x:c>
      <x:c r="D111" s="3" t="str">
        <x:v>Local machine and authenticated LAN/offline test environment</x:v>
      </x:c>
      <x:c r="E111" s="7" t="str">
        <x:v>Not started</x:v>
      </x:c>
      <x:c r="F111" s="7" t="str"/>
      <x:c r="G111" s="7" t="str">
        <x:v>Planned evidence requirement; no result has been observed by this tracker builder.</x:v>
      </x:c>
      <x:c r="H111" s="3" t="str">
        <x:v>Design</x:v>
      </x:c>
      <x:c r="I111" s="3" t="str">
        <x:v>["CC-T027"]</x:v>
      </x:c>
      <x:c r="J111" s="3" t="str">
        <x:v>["CC-T027-S02"]</x:v>
      </x:c>
      <x:c r="K111" s="7" t="str"/>
      <x:c r="L111" s="8" t="str"/>
      <x:c r="M111" s="7" t="str"/>
      <x:c r="N111" s="7" t="str"/>
      <x:c r="O111" s="7" t="str"/>
      <x:c r="P111" s="3" t="str">
        <x:v>Implementation covers the task-specific behavior; no claim of verification is made until S03.</x:v>
      </x:c>
      <x:c r="Q111" s="7" t="str"/>
      <x:c r="R111" s="7" t="str"/>
      <x:c r="S111" s="7" t="str"/>
      <x:c r="T111" s="7" t="str"/>
      <x:c r="U111" s="7" t="str"/>
    </x:row>
    <x:row r="112" ht="84" customHeight="1">
      <x:c r="A112" s="3" t="str">
        <x:v>CC-E111</x:v>
      </x:c>
      <x:c r="B112" s="3" t="str">
        <x:v>CC-T027-S03: Acceptance verification</x:v>
      </x:c>
      <x:c r="C112" s="3" t="str">
        <x:v>Internet-disconnected search, answers, images, citations and exports work.
LAN is disabled by default.
Unauthenticated clients cannot access vehicle data.
Model ports are not exposed to the LAN.
Network observation finds no unexpected public connections.</x:v>
      </x:c>
      <x:c r="D112" s="3" t="str">
        <x:v>Local machine and authenticated LAN/offline test environment</x:v>
      </x:c>
      <x:c r="E112" s="7" t="str">
        <x:v>Not started</x:v>
      </x:c>
      <x:c r="F112" s="7" t="str"/>
      <x:c r="G112" s="7" t="str">
        <x:v>Planned evidence requirement; no result has been observed by this tracker builder.</x:v>
      </x:c>
      <x:c r="H112" s="3" t="str">
        <x:v>Execution</x:v>
      </x:c>
      <x:c r="I112" s="3" t="str">
        <x:v>["CC-T027"]</x:v>
      </x:c>
      <x:c r="J112" s="3" t="str">
        <x:v>["CC-T027-S03"]</x:v>
      </x:c>
      <x:c r="K112" s="7" t="str"/>
      <x:c r="L112" s="8" t="str"/>
      <x:c r="M112" s="7" t="str"/>
      <x:c r="N112" s="7" t="str"/>
      <x:c r="O112" s="7" t="str"/>
      <x:c r="P112" s="3" t="str">
        <x:v>python -m pytest -q tests/acceptance/test_offline_and_lan.py
All applicable acceptance criteria pass; separately record manual-source, hardware or clean-installation observations when required.</x:v>
      </x:c>
      <x:c r="Q112" s="7" t="str"/>
      <x:c r="R112" s="7" t="str"/>
      <x:c r="S112" s="7" t="str"/>
      <x:c r="T112" s="7" t="str"/>
      <x:c r="U112" s="7" t="str"/>
    </x:row>
    <x:row r="113" ht="54" customHeight="1">
      <x:c r="A113" s="3" t="str">
        <x:v>CC-E112</x:v>
      </x:c>
      <x:c r="B113" s="3" t="str">
        <x:v>CC-T027-S04: Review and handover</x:v>
      </x:c>
      <x:c r="C113" s="3" t="str">
        <x:v>Review findings resolved or explicitly recorded; evidence links valid; tracker consistent; commit field is blank or identifies an actual commit.</x:v>
      </x:c>
      <x:c r="D113" s="3" t="str">
        <x:v>Local machine and authenticated LAN/offline test environment</x:v>
      </x:c>
      <x:c r="E113" s="7" t="str">
        <x:v>Not started</x:v>
      </x:c>
      <x:c r="F113" s="7" t="str"/>
      <x:c r="G113" s="7" t="str">
        <x:v>Planned evidence requirement; no result has been observed by this tracker builder.</x:v>
      </x:c>
      <x:c r="H113" s="3" t="str">
        <x:v>Review</x:v>
      </x:c>
      <x:c r="I113" s="3" t="str">
        <x:v>["CC-T027"]</x:v>
      </x:c>
      <x:c r="J113" s="3" t="str">
        <x:v>["CC-T027-S04"]</x:v>
      </x:c>
      <x:c r="K113" s="7" t="str"/>
      <x:c r="L113" s="8" t="str"/>
      <x:c r="M113" s="7" t="str"/>
      <x:c r="N113" s="7" t="str"/>
      <x:c r="O113" s="7" t="str"/>
      <x:c r="P113" s="3" t="str">
        <x:v>Independent review and all required evidence resolve task acceptance; tracker and handover agree. Record only an existing commit.</x:v>
      </x:c>
      <x:c r="Q113" s="7" t="str"/>
      <x:c r="R113" s="7" t="str"/>
      <x:c r="S113" s="7" t="str"/>
      <x:c r="T113" s="7" t="str"/>
      <x:c r="U113" s="7" t="str"/>
    </x:row>
    <x:row r="114" ht="96" customHeight="1">
      <x:c r="A114" s="3" t="str">
        <x:v>CC-E113</x:v>
      </x:c>
      <x:c r="B114" s="3" t="str">
        <x:v>CC-T028-S01: Regression fixtures and observed baseline gap</x:v>
      </x:c>
      <x:c r="C114" s="3" t="str">
        <x:v>Fixtures cover these expected behaviors and demonstrate the relevant baseline gap:
Migration reports reconcile imported, rejected and unresolved records.
The original dataset remains intact.
Restored vehicle history and source links match the backup.
Incompatible schema versions fail before replacing current data.
A corrupt backup leaves the current installation usable.</x:v>
      </x:c>
      <x:c r="D114" s="3" t="str">
        <x:v>Local development</x:v>
      </x:c>
      <x:c r="E114" s="7" t="str">
        <x:v>Not started</x:v>
      </x:c>
      <x:c r="F114" s="7" t="str"/>
      <x:c r="G114" s="7" t="str">
        <x:v>Planned evidence requirement; no result has been observed by this tracker builder.</x:v>
      </x:c>
      <x:c r="H114" s="3" t="str">
        <x:v>Execution</x:v>
      </x:c>
      <x:c r="I114" s="3" t="str">
        <x:v>["CC-T028"]</x:v>
      </x:c>
      <x:c r="J114" s="3" t="str">
        <x:v>["CC-T028-S01"]</x:v>
      </x:c>
      <x:c r="K114" s="7" t="str"/>
      <x:c r="L114" s="8" t="str"/>
      <x:c r="M114" s="7" t="str"/>
      <x:c r="N114" s="7" t="str"/>
      <x:c r="O114" s="7" t="str"/>
      <x:c r="P114" s="3" t="str">
        <x:v>python -m pytest -q tests/acceptance/test_backup_restore.py
Confirm the relevant missing or incorrect behavior for the task's acceptance criteria; record the actual failing behavior and command result.</x:v>
      </x:c>
      <x:c r="Q114" s="7" t="str"/>
      <x:c r="R114" s="7" t="str"/>
      <x:c r="S114" s="7" t="str"/>
      <x:c r="T114" s="7" t="str"/>
      <x:c r="U114" s="7" t="str"/>
    </x:row>
    <x:row r="115" ht="84" customHeight="1">
      <x:c r="A115" s="3" t="str">
        <x:v>CC-E114</x:v>
      </x:c>
      <x:c r="B115" s="3" t="str">
        <x:v>CC-T028-S02: Implementation record</x:v>
      </x:c>
      <x:c r="C115" s="3" t="str">
        <x:v>Import legacy JSONL, manifests and compatible database exports through a migration boundary.
Preserve originals and report unresolved mappings.
Back up application records, source files, exports and version manifests.
Rebuild disposable indexes when required.
Restore into a separate clean data root before activation.</x:v>
      </x:c>
      <x:c r="D115" s="3" t="str">
        <x:v>Local development</x:v>
      </x:c>
      <x:c r="E115" s="7" t="str">
        <x:v>Not started</x:v>
      </x:c>
      <x:c r="F115" s="7" t="str"/>
      <x:c r="G115" s="7" t="str">
        <x:v>Planned evidence requirement; no result has been observed by this tracker builder.</x:v>
      </x:c>
      <x:c r="H115" s="3" t="str">
        <x:v>Design</x:v>
      </x:c>
      <x:c r="I115" s="3" t="str">
        <x:v>["CC-T028"]</x:v>
      </x:c>
      <x:c r="J115" s="3" t="str">
        <x:v>["CC-T028-S02"]</x:v>
      </x:c>
      <x:c r="K115" s="7" t="str"/>
      <x:c r="L115" s="8" t="str"/>
      <x:c r="M115" s="7" t="str"/>
      <x:c r="N115" s="7" t="str"/>
      <x:c r="O115" s="7" t="str"/>
      <x:c r="P115" s="3" t="str">
        <x:v>Implementation covers the task-specific behavior; no claim of verification is made until S03.</x:v>
      </x:c>
      <x:c r="Q115" s="7" t="str"/>
      <x:c r="R115" s="7" t="str"/>
      <x:c r="S115" s="7" t="str"/>
      <x:c r="T115" s="7" t="str"/>
      <x:c r="U115" s="7" t="str"/>
    </x:row>
    <x:row r="116" ht="72" customHeight="1">
      <x:c r="A116" s="3" t="str">
        <x:v>CC-E115</x:v>
      </x:c>
      <x:c r="B116" s="3" t="str">
        <x:v>CC-T028-S03: Acceptance verification</x:v>
      </x:c>
      <x:c r="C116" s="3" t="str">
        <x:v>Migration reports reconcile imported, rejected and unresolved records.
The original dataset remains intact.
Restored vehicle history and source links match the backup.
Incompatible schema versions fail before replacing current data.
A corrupt backup leaves the current installation usable.</x:v>
      </x:c>
      <x:c r="D116" s="3" t="str">
        <x:v>Local development</x:v>
      </x:c>
      <x:c r="E116" s="7" t="str">
        <x:v>Not started</x:v>
      </x:c>
      <x:c r="F116" s="7" t="str"/>
      <x:c r="G116" s="7" t="str">
        <x:v>Planned evidence requirement; no result has been observed by this tracker builder.</x:v>
      </x:c>
      <x:c r="H116" s="3" t="str">
        <x:v>Execution</x:v>
      </x:c>
      <x:c r="I116" s="3" t="str">
        <x:v>["CC-T028"]</x:v>
      </x:c>
      <x:c r="J116" s="3" t="str">
        <x:v>["CC-T028-S03"]</x:v>
      </x:c>
      <x:c r="K116" s="7" t="str"/>
      <x:c r="L116" s="8" t="str"/>
      <x:c r="M116" s="7" t="str"/>
      <x:c r="N116" s="7" t="str"/>
      <x:c r="O116" s="7" t="str"/>
      <x:c r="P116" s="3" t="str">
        <x:v>python -m pytest -q tests/acceptance/test_backup_restore.py
All applicable acceptance criteria pass; separately record manual-source, hardware or clean-installation observations when required.</x:v>
      </x:c>
      <x:c r="Q116" s="7" t="str"/>
      <x:c r="R116" s="7" t="str"/>
      <x:c r="S116" s="7" t="str"/>
      <x:c r="T116" s="7" t="str"/>
      <x:c r="U116" s="7" t="str"/>
    </x:row>
    <x:row r="117" ht="54" customHeight="1">
      <x:c r="A117" s="3" t="str">
        <x:v>CC-E116</x:v>
      </x:c>
      <x:c r="B117" s="3" t="str">
        <x:v>CC-T028-S04: Review and handover</x:v>
      </x:c>
      <x:c r="C117" s="3" t="str">
        <x:v>Review findings resolved or explicitly recorded; evidence links valid; tracker consistent; commit field is blank or identifies an actual commit.</x:v>
      </x:c>
      <x:c r="D117" s="3" t="str">
        <x:v>Local development</x:v>
      </x:c>
      <x:c r="E117" s="7" t="str">
        <x:v>Not started</x:v>
      </x:c>
      <x:c r="F117" s="7" t="str"/>
      <x:c r="G117" s="7" t="str">
        <x:v>Planned evidence requirement; no result has been observed by this tracker builder.</x:v>
      </x:c>
      <x:c r="H117" s="3" t="str">
        <x:v>Review</x:v>
      </x:c>
      <x:c r="I117" s="3" t="str">
        <x:v>["CC-T028"]</x:v>
      </x:c>
      <x:c r="J117" s="3" t="str">
        <x:v>["CC-T028-S04"]</x:v>
      </x:c>
      <x:c r="K117" s="7" t="str"/>
      <x:c r="L117" s="8" t="str"/>
      <x:c r="M117" s="7" t="str"/>
      <x:c r="N117" s="7" t="str"/>
      <x:c r="O117" s="7" t="str"/>
      <x:c r="P117" s="3" t="str">
        <x:v>Independent review and all required evidence resolve task acceptance; tracker and handover agree. Record only an existing commit.</x:v>
      </x:c>
      <x:c r="Q117" s="7" t="str"/>
      <x:c r="R117" s="7" t="str"/>
      <x:c r="S117" s="7" t="str"/>
      <x:c r="T117" s="7" t="str"/>
      <x:c r="U117" s="7" t="str"/>
    </x:row>
    <x:row r="118" ht="108" customHeight="1">
      <x:c r="A118" s="3" t="str">
        <x:v>CC-E117</x:v>
      </x:c>
      <x:c r="B118" s="3" t="str">
        <x:v>CC-T029-S01: Regression fixtures and observed baseline gap</x:v>
      </x:c>
      <x:c r="C118" s="3" t="str">
        <x:v>Fixtures cover these expected behaviors and demonstrate the relevant baseline gap:
Installation works on a clean supported Windows profile.
No pre-existing Python, Ollama or development cache is required.
Missing model assets produce an actionable setup state.
Upgrade preserves Garages.
Uninstall behavior clearly distinguishes application removal from user-data deletion.</x:v>
      </x:c>
      <x:c r="D118" s="3" t="str">
        <x:v>Windows x64; clean installation environment</x:v>
      </x:c>
      <x:c r="E118" s="7" t="str">
        <x:v>Not started</x:v>
      </x:c>
      <x:c r="F118" s="7" t="str"/>
      <x:c r="G118" s="7" t="str">
        <x:v>Planned evidence requirement; no result has been observed by this tracker builder.</x:v>
      </x:c>
      <x:c r="H118" s="3" t="str">
        <x:v>Execution</x:v>
      </x:c>
      <x:c r="I118" s="3" t="str">
        <x:v>["CC-T029"]</x:v>
      </x:c>
      <x:c r="J118" s="3" t="str">
        <x:v>["CC-T029-S01"]</x:v>
      </x:c>
      <x:c r="K118" s="7" t="str"/>
      <x:c r="L118" s="8" t="str"/>
      <x:c r="M118" s="7" t="str"/>
      <x:c r="N118" s="7" t="str"/>
      <x:c r="O118" s="7" t="str"/>
      <x:c r="P118" s="3" t="str">
        <x:v>python -m pytest -q tests/acceptance/test_windows_installation.py
Confirm the relevant missing or incorrect behavior for the task's acceptance criteria; record the actual failing behavior and command result.</x:v>
      </x:c>
      <x:c r="Q118" s="7" t="str"/>
      <x:c r="R118" s="7" t="str"/>
      <x:c r="S118" s="7" t="str"/>
      <x:c r="T118" s="7" t="str"/>
      <x:c r="U118" s="7" t="str"/>
    </x:row>
    <x:row r="119" ht="96" customHeight="1">
      <x:c r="A119" s="3" t="str">
        <x:v>CC-E118</x:v>
      </x:c>
      <x:c r="B119" s="3" t="str">
        <x:v>CC-T029-S02: Implementation record</x:v>
      </x:c>
      <x:c r="C119" s="3" t="str">
        <x:v>Build the application folder bundle.
Include native dependencies, PDF assets, OCR assets and the selected runtime.
Handle the required WebView runtime through an explicit installation/offline provisioning path.
Create the installer and offline asset manifest.
Preserve user data during upgrade and default uninstall.</x:v>
      </x:c>
      <x:c r="D119" s="3" t="str">
        <x:v>Windows x64; clean installation environment</x:v>
      </x:c>
      <x:c r="E119" s="7" t="str">
        <x:v>Not started</x:v>
      </x:c>
      <x:c r="F119" s="7" t="str"/>
      <x:c r="G119" s="7" t="str">
        <x:v>Planned evidence requirement; no result has been observed by this tracker builder.</x:v>
      </x:c>
      <x:c r="H119" s="3" t="str">
        <x:v>Design</x:v>
      </x:c>
      <x:c r="I119" s="3" t="str">
        <x:v>["CC-T029"]</x:v>
      </x:c>
      <x:c r="J119" s="3" t="str">
        <x:v>["CC-T029-S02"]</x:v>
      </x:c>
      <x:c r="K119" s="7" t="str"/>
      <x:c r="L119" s="8" t="str"/>
      <x:c r="M119" s="7" t="str"/>
      <x:c r="N119" s="7" t="str"/>
      <x:c r="O119" s="7" t="str"/>
      <x:c r="P119" s="3" t="str">
        <x:v>Implementation covers the task-specific behavior; no claim of verification is made until S03.</x:v>
      </x:c>
      <x:c r="Q119" s="7" t="str"/>
      <x:c r="R119" s="7" t="str"/>
      <x:c r="S119" s="7" t="str"/>
      <x:c r="T119" s="7" t="str"/>
      <x:c r="U119" s="7" t="str"/>
    </x:row>
    <x:row r="120" ht="84" customHeight="1">
      <x:c r="A120" s="3" t="str">
        <x:v>CC-E119</x:v>
      </x:c>
      <x:c r="B120" s="3" t="str">
        <x:v>CC-T029-S03: Acceptance verification</x:v>
      </x:c>
      <x:c r="C120" s="3" t="str">
        <x:v>Installation works on a clean supported Windows profile.
No pre-existing Python, Ollama or development cache is required.
Missing model assets produce an actionable setup state.
Upgrade preserves Garages.
Uninstall behavior clearly distinguishes application removal from user-data deletion.</x:v>
      </x:c>
      <x:c r="D120" s="3" t="str">
        <x:v>Windows x64; clean installation environment</x:v>
      </x:c>
      <x:c r="E120" s="7" t="str">
        <x:v>Not started</x:v>
      </x:c>
      <x:c r="F120" s="7" t="str"/>
      <x:c r="G120" s="7" t="str">
        <x:v>Planned evidence requirement; no result has been observed by this tracker builder.</x:v>
      </x:c>
      <x:c r="H120" s="3" t="str">
        <x:v>Release</x:v>
      </x:c>
      <x:c r="I120" s="3" t="str">
        <x:v>["CC-T029"]</x:v>
      </x:c>
      <x:c r="J120" s="3" t="str">
        <x:v>["CC-T029-S03"]</x:v>
      </x:c>
      <x:c r="K120" s="7" t="str"/>
      <x:c r="L120" s="8" t="str"/>
      <x:c r="M120" s="7" t="str"/>
      <x:c r="N120" s="7" t="str"/>
      <x:c r="O120" s="7" t="str"/>
      <x:c r="P120" s="3" t="str">
        <x:v>python -m pytest -q tests/acceptance/test_windows_installation.py
All applicable acceptance criteria pass; separately record manual-source, hardware or clean-installation observations when required.</x:v>
      </x:c>
      <x:c r="Q120" s="7" t="str"/>
      <x:c r="R120" s="7" t="str"/>
      <x:c r="S120" s="7" t="str"/>
      <x:c r="T120" s="7" t="str"/>
      <x:c r="U120" s="7" t="str"/>
    </x:row>
    <x:row r="121" ht="54" customHeight="1">
      <x:c r="A121" s="3" t="str">
        <x:v>CC-E120</x:v>
      </x:c>
      <x:c r="B121" s="3" t="str">
        <x:v>CC-T029-S04: Review and handover</x:v>
      </x:c>
      <x:c r="C121" s="3" t="str">
        <x:v>Review findings resolved or explicitly recorded; evidence links valid; tracker consistent; commit field is blank or identifies an actual commit.</x:v>
      </x:c>
      <x:c r="D121" s="3" t="str">
        <x:v>Windows x64; clean installation environment</x:v>
      </x:c>
      <x:c r="E121" s="7" t="str">
        <x:v>Not started</x:v>
      </x:c>
      <x:c r="F121" s="7" t="str"/>
      <x:c r="G121" s="7" t="str">
        <x:v>Planned evidence requirement; no result has been observed by this tracker builder.</x:v>
      </x:c>
      <x:c r="H121" s="3" t="str">
        <x:v>Review</x:v>
      </x:c>
      <x:c r="I121" s="3" t="str">
        <x:v>["CC-T029"]</x:v>
      </x:c>
      <x:c r="J121" s="3" t="str">
        <x:v>["CC-T029-S04"]</x:v>
      </x:c>
      <x:c r="K121" s="7" t="str"/>
      <x:c r="L121" s="8" t="str"/>
      <x:c r="M121" s="7" t="str"/>
      <x:c r="N121" s="7" t="str"/>
      <x:c r="O121" s="7" t="str"/>
      <x:c r="P121" s="3" t="str">
        <x:v>Independent review and all required evidence resolve task acceptance; tracker and handover agree. Record only an existing commit.</x:v>
      </x:c>
      <x:c r="Q121" s="7" t="str"/>
      <x:c r="R121" s="7" t="str"/>
      <x:c r="S121" s="7" t="str"/>
      <x:c r="T121" s="7" t="str"/>
      <x:c r="U121" s="7" t="str"/>
    </x:row>
    <x:row r="122" ht="120" customHeight="1">
      <x:c r="A122" s="3" t="str">
        <x:v>CC-E121</x:v>
      </x:c>
      <x:c r="B122" s="3" t="str">
        <x:v>CC-T030-S01: Regression fixtures and observed baseline gap</x:v>
      </x:c>
      <x:c r="C122" s="3" t="str">
        <x:v>Fixtures cover these expected behaviors and demonstrate the relevant baseline gap:
Every supported profile has actual execution evidence.
No result is extrapolated into an untested GPU configuration.
A larger model is selected only when it improves measured quality within available resources.
Results include model, projector, runtime and configuration hashes.
The application remains useful for source viewing and direct approved facts when generation is unavailable.</x:v>
      </x:c>
      <x:c r="D122" s="3" t="str">
        <x:v>Local development; actual supported hardware for hardware gates</x:v>
      </x:c>
      <x:c r="E122" s="7" t="str">
        <x:v>Not started</x:v>
      </x:c>
      <x:c r="F122" s="7" t="str"/>
      <x:c r="G122" s="7" t="str">
        <x:v>Planned evidence requirement; no result has been observed by this tracker builder.</x:v>
      </x:c>
      <x:c r="H122" s="3" t="str">
        <x:v>Execution</x:v>
      </x:c>
      <x:c r="I122" s="3" t="str">
        <x:v>["CC-T030"]</x:v>
      </x:c>
      <x:c r="J122" s="3" t="str">
        <x:v>["CC-T030-S01"]</x:v>
      </x:c>
      <x:c r="K122" s="7" t="str"/>
      <x:c r="L122" s="8" t="str"/>
      <x:c r="M122" s="7" t="str"/>
      <x:c r="N122" s="7" t="str"/>
      <x:c r="O122" s="7" t="str"/>
      <x:c r="P122" s="3" t="str">
        <x:v>python -m pytest -q tests/acceptance/test_hardware_profiles.py
Confirm the relevant missing or incorrect behavior for the task's acceptance criteria; record the actual failing behavior and command result.</x:v>
      </x:c>
      <x:c r="Q122" s="7" t="str"/>
      <x:c r="R122" s="7" t="str"/>
      <x:c r="S122" s="7" t="str"/>
      <x:c r="T122" s="7" t="str"/>
      <x:c r="U122" s="7" t="str"/>
    </x:row>
    <x:row r="123" ht="72" customHeight="1">
      <x:c r="A123" s="3" t="str">
        <x:v>CC-E122</x:v>
      </x:c>
      <x:c r="B123" s="3" t="str">
        <x:v>CC-T030-S02: Implementation record</x:v>
      </x:c>
      <x:c r="C123" s="3" t="str">
        <x:v>Run a fixed workload across available hardware tiers.
Measure model load time, response latency, peak RAM/VRAM, indexing throughput and disk use.
Exercise out-of-memory recovery and configuration rollback.
Publish supported, experimental and untested profile states.</x:v>
      </x:c>
      <x:c r="D123" s="3" t="str">
        <x:v>Local development; actual supported hardware for hardware gates</x:v>
      </x:c>
      <x:c r="E123" s="7" t="str">
        <x:v>Not started</x:v>
      </x:c>
      <x:c r="F123" s="7" t="str"/>
      <x:c r="G123" s="7" t="str">
        <x:v>Planned evidence requirement; no result has been observed by this tracker builder.</x:v>
      </x:c>
      <x:c r="H123" s="3" t="str">
        <x:v>Design</x:v>
      </x:c>
      <x:c r="I123" s="3" t="str">
        <x:v>["CC-T030"]</x:v>
      </x:c>
      <x:c r="J123" s="3" t="str">
        <x:v>["CC-T030-S02"]</x:v>
      </x:c>
      <x:c r="K123" s="7" t="str"/>
      <x:c r="L123" s="8" t="str"/>
      <x:c r="M123" s="7" t="str"/>
      <x:c r="N123" s="7" t="str"/>
      <x:c r="O123" s="7" t="str"/>
      <x:c r="P123" s="3" t="str">
        <x:v>Implementation covers the task-specific behavior; no claim of verification is made until S03.</x:v>
      </x:c>
      <x:c r="Q123" s="7" t="str"/>
      <x:c r="R123" s="7" t="str"/>
      <x:c r="S123" s="7" t="str"/>
      <x:c r="T123" s="7" t="str"/>
      <x:c r="U123" s="7" t="str"/>
    </x:row>
    <x:row r="124" ht="96" customHeight="1">
      <x:c r="A124" s="3" t="str">
        <x:v>CC-E123</x:v>
      </x:c>
      <x:c r="B124" s="3" t="str">
        <x:v>CC-T030-S03: Acceptance verification</x:v>
      </x:c>
      <x:c r="C124" s="3" t="str">
        <x:v>Every supported profile has actual execution evidence.
No result is extrapolated into an untested GPU configuration.
A larger model is selected only when it improves measured quality within available resources.
Results include model, projector, runtime and configuration hashes.
The application remains useful for source viewing and direct approved facts when generation is unavailable.</x:v>
      </x:c>
      <x:c r="D124" s="3" t="str">
        <x:v>Local development; actual supported hardware for hardware gates</x:v>
      </x:c>
      <x:c r="E124" s="7" t="str">
        <x:v>Not started</x:v>
      </x:c>
      <x:c r="F124" s="7" t="str"/>
      <x:c r="G124" s="7" t="str">
        <x:v>Planned evidence requirement; no result has been observed by this tracker builder.</x:v>
      </x:c>
      <x:c r="H124" s="3" t="str">
        <x:v>Release</x:v>
      </x:c>
      <x:c r="I124" s="3" t="str">
        <x:v>["CC-T030"]</x:v>
      </x:c>
      <x:c r="J124" s="3" t="str">
        <x:v>["CC-T030-S03"]</x:v>
      </x:c>
      <x:c r="K124" s="7" t="str"/>
      <x:c r="L124" s="8" t="str"/>
      <x:c r="M124" s="7" t="str"/>
      <x:c r="N124" s="7" t="str"/>
      <x:c r="O124" s="7" t="str"/>
      <x:c r="P124" s="3" t="str">
        <x:v>python -m pytest -q tests/acceptance/test_hardware_profiles.py
All applicable acceptance criteria pass; separately record manual-source, hardware or clean-installation observations when required.</x:v>
      </x:c>
      <x:c r="Q124" s="7" t="str"/>
      <x:c r="R124" s="7" t="str"/>
      <x:c r="S124" s="7" t="str"/>
      <x:c r="T124" s="7" t="str"/>
      <x:c r="U124" s="7" t="str"/>
    </x:row>
    <x:row r="125" ht="54" customHeight="1">
      <x:c r="A125" s="3" t="str">
        <x:v>CC-E124</x:v>
      </x:c>
      <x:c r="B125" s="3" t="str">
        <x:v>CC-T030-S04: Review and handover</x:v>
      </x:c>
      <x:c r="C125" s="3" t="str">
        <x:v>Review findings resolved or explicitly recorded; evidence links valid; tracker consistent; commit field is blank or identifies an actual commit.</x:v>
      </x:c>
      <x:c r="D125" s="3" t="str">
        <x:v>Local development; actual supported hardware for hardware gates</x:v>
      </x:c>
      <x:c r="E125" s="7" t="str">
        <x:v>Not started</x:v>
      </x:c>
      <x:c r="F125" s="7" t="str"/>
      <x:c r="G125" s="7" t="str">
        <x:v>Planned evidence requirement; no result has been observed by this tracker builder.</x:v>
      </x:c>
      <x:c r="H125" s="3" t="str">
        <x:v>Review</x:v>
      </x:c>
      <x:c r="I125" s="3" t="str">
        <x:v>["CC-T030"]</x:v>
      </x:c>
      <x:c r="J125" s="3" t="str">
        <x:v>["CC-T030-S04"]</x:v>
      </x:c>
      <x:c r="K125" s="7" t="str"/>
      <x:c r="L125" s="8" t="str"/>
      <x:c r="M125" s="7" t="str"/>
      <x:c r="N125" s="7" t="str"/>
      <x:c r="O125" s="7" t="str"/>
      <x:c r="P125" s="3" t="str">
        <x:v>Independent review and all required evidence resolve task acceptance; tracker and handover agree. Record only an existing commit.</x:v>
      </x:c>
      <x:c r="Q125" s="7" t="str"/>
      <x:c r="R125" s="7" t="str"/>
      <x:c r="S125" s="7" t="str"/>
      <x:c r="T125" s="7" t="str"/>
      <x:c r="U125" s="7" t="str"/>
    </x:row>
    <x:row r="126" ht="120" customHeight="1">
      <x:c r="A126" s="3" t="str">
        <x:v>CC-E125</x:v>
      </x:c>
      <x:c r="B126" s="3" t="str">
        <x:v>CC-T031-S01: Regression fixtures and observed baseline gap</x:v>
      </x:c>
      <x:c r="C126" s="3" t="str">
        <x:v>Fixtures cover these expected behaviors and demonstrate the relevant baseline gap:
All critical acceptance scenarios in Section 6 pass.
No observed cross-Garage disclosure occurs.
No definitive unsupported critical specification occurs in the release test set.
No unresolved critical failure is hidden by aggregate averages.
Passing results are described as test evidence, not a guarantee of mechanical correctness.</x:v>
      </x:c>
      <x:c r="D126" s="3" t="str">
        <x:v>Local development</x:v>
      </x:c>
      <x:c r="E126" s="7" t="str">
        <x:v>Not started</x:v>
      </x:c>
      <x:c r="F126" s="7" t="str"/>
      <x:c r="G126" s="7" t="str">
        <x:v>Planned evidence requirement; no result has been observed by this tracker builder.</x:v>
      </x:c>
      <x:c r="H126" s="3" t="str">
        <x:v>Execution</x:v>
      </x:c>
      <x:c r="I126" s="3" t="str">
        <x:v>["CC-T031"]</x:v>
      </x:c>
      <x:c r="J126" s="3" t="str">
        <x:v>["CC-T031-S01"]</x:v>
      </x:c>
      <x:c r="K126" s="7" t="str"/>
      <x:c r="L126" s="8" t="str"/>
      <x:c r="M126" s="7" t="str"/>
      <x:c r="N126" s="7" t="str"/>
      <x:c r="O126" s="7" t="str"/>
      <x:c r="P126" s="3" t="str">
        <x:v>python -m pytest -q tests/acceptance/test_release_evaluation.py
Confirm the relevant missing or incorrect behavior for the task's acceptance criteria; record the actual failing behavior and command result.</x:v>
      </x:c>
      <x:c r="Q126" s="7" t="str"/>
      <x:c r="R126" s="7" t="str"/>
      <x:c r="S126" s="7" t="str"/>
      <x:c r="T126" s="7" t="str"/>
      <x:c r="U126" s="7" t="str"/>
    </x:row>
    <x:row r="127" ht="84" customHeight="1">
      <x:c r="A127" s="3" t="str">
        <x:v>CC-E126</x:v>
      </x:c>
      <x:c r="B127" s="3" t="str">
        <x:v>CC-T031-S02: Implementation record</x:v>
      </x:c>
      <x:c r="C127" s="3" t="str">
        <x:v>Freeze development and held-out evaluation sets separately.
Run isolation, applicability, numeric, citation, procedure and recovery tests.
Exercise prompt injection in imported documents and metadata.
Review representative generated outputs.
Record unresolved failures.</x:v>
      </x:c>
      <x:c r="D127" s="3" t="str">
        <x:v>Local development</x:v>
      </x:c>
      <x:c r="E127" s="7" t="str">
        <x:v>Not started</x:v>
      </x:c>
      <x:c r="F127" s="7" t="str"/>
      <x:c r="G127" s="7" t="str">
        <x:v>Planned evidence requirement; no result has been observed by this tracker builder.</x:v>
      </x:c>
      <x:c r="H127" s="3" t="str">
        <x:v>Design</x:v>
      </x:c>
      <x:c r="I127" s="3" t="str">
        <x:v>["CC-T031"]</x:v>
      </x:c>
      <x:c r="J127" s="3" t="str">
        <x:v>["CC-T031-S02"]</x:v>
      </x:c>
      <x:c r="K127" s="7" t="str"/>
      <x:c r="L127" s="8" t="str"/>
      <x:c r="M127" s="7" t="str"/>
      <x:c r="N127" s="7" t="str"/>
      <x:c r="O127" s="7" t="str"/>
      <x:c r="P127" s="3" t="str">
        <x:v>Implementation covers the task-specific behavior; no claim of verification is made until S03.</x:v>
      </x:c>
      <x:c r="Q127" s="7" t="str"/>
      <x:c r="R127" s="7" t="str"/>
      <x:c r="S127" s="7" t="str"/>
      <x:c r="T127" s="7" t="str"/>
      <x:c r="U127" s="7" t="str"/>
    </x:row>
    <x:row r="128" ht="96" customHeight="1">
      <x:c r="A128" s="3" t="str">
        <x:v>CC-E127</x:v>
      </x:c>
      <x:c r="B128" s="3" t="str">
        <x:v>CC-T031-S03: Acceptance verification</x:v>
      </x:c>
      <x:c r="C128" s="3" t="str">
        <x:v>All critical acceptance scenarios in Section 6 pass.
No observed cross-Garage disclosure occurs.
No definitive unsupported critical specification occurs in the release test set.
No unresolved critical failure is hidden by aggregate averages.
Passing results are described as test evidence, not a guarantee of mechanical correctness.</x:v>
      </x:c>
      <x:c r="D128" s="3" t="str">
        <x:v>Local development</x:v>
      </x:c>
      <x:c r="E128" s="7" t="str">
        <x:v>Not started</x:v>
      </x:c>
      <x:c r="F128" s="7" t="str"/>
      <x:c r="G128" s="7" t="str">
        <x:v>Planned evidence requirement; no result has been observed by this tracker builder.</x:v>
      </x:c>
      <x:c r="H128" s="3" t="str">
        <x:v>Release</x:v>
      </x:c>
      <x:c r="I128" s="3" t="str">
        <x:v>["CC-T031"]</x:v>
      </x:c>
      <x:c r="J128" s="3" t="str">
        <x:v>["CC-T031-S03"]</x:v>
      </x:c>
      <x:c r="K128" s="7" t="str"/>
      <x:c r="L128" s="8" t="str"/>
      <x:c r="M128" s="7" t="str"/>
      <x:c r="N128" s="7" t="str"/>
      <x:c r="O128" s="7" t="str"/>
      <x:c r="P128" s="3" t="str">
        <x:v>python -m pytest -q tests/acceptance/test_release_evaluation.py
All applicable acceptance criteria pass; separately record manual-source, hardware or clean-installation observations when required.</x:v>
      </x:c>
      <x:c r="Q128" s="7" t="str"/>
      <x:c r="R128" s="7" t="str"/>
      <x:c r="S128" s="7" t="str"/>
      <x:c r="T128" s="7" t="str"/>
      <x:c r="U128" s="7" t="str"/>
    </x:row>
    <x:row r="129" ht="54" customHeight="1">
      <x:c r="A129" s="3" t="str">
        <x:v>CC-E128</x:v>
      </x:c>
      <x:c r="B129" s="3" t="str">
        <x:v>CC-T031-S04: Review and handover</x:v>
      </x:c>
      <x:c r="C129" s="3" t="str">
        <x:v>Review findings resolved or explicitly recorded; evidence links valid; tracker consistent; commit field is blank or identifies an actual commit.</x:v>
      </x:c>
      <x:c r="D129" s="3" t="str">
        <x:v>Local development</x:v>
      </x:c>
      <x:c r="E129" s="7" t="str">
        <x:v>Not started</x:v>
      </x:c>
      <x:c r="F129" s="7" t="str"/>
      <x:c r="G129" s="7" t="str">
        <x:v>Planned evidence requirement; no result has been observed by this tracker builder.</x:v>
      </x:c>
      <x:c r="H129" s="3" t="str">
        <x:v>Review</x:v>
      </x:c>
      <x:c r="I129" s="3" t="str">
        <x:v>["CC-T031"]</x:v>
      </x:c>
      <x:c r="J129" s="3" t="str">
        <x:v>["CC-T031-S04"]</x:v>
      </x:c>
      <x:c r="K129" s="7" t="str"/>
      <x:c r="L129" s="8" t="str"/>
      <x:c r="M129" s="7" t="str"/>
      <x:c r="N129" s="7" t="str"/>
      <x:c r="O129" s="7" t="str"/>
      <x:c r="P129" s="3" t="str">
        <x:v>Independent review and all required evidence resolve task acceptance; tracker and handover agree. Record only an existing commit.</x:v>
      </x:c>
      <x:c r="Q129" s="7" t="str"/>
      <x:c r="R129" s="7" t="str"/>
      <x:c r="S129" s="7" t="str"/>
      <x:c r="T129" s="7" t="str"/>
      <x:c r="U129" s="7" t="str"/>
    </x:row>
    <x:row r="130" ht="120" customHeight="1">
      <x:c r="A130" s="3" t="str">
        <x:v>CC-E129</x:v>
      </x:c>
      <x:c r="B130" s="3" t="str">
        <x:v>CC-T032-S01: Regression fixtures and observed baseline gap</x:v>
      </x:c>
      <x:c r="C130" s="3" t="str">
        <x:v>Fixtures cover these expected behaviors and demonstrate the relevant baseline gap:
Every completed task has matching evidence.
Deferred roadmap work is outside the completion denominator.
A new agent can identify the exact current state and next work from the tracker.
Release artifacts identify the source commit and dependency/runtime revisions.
No publication or deployment is claimed unless it actually occurred.</x:v>
      </x:c>
      <x:c r="D130" s="3" t="str">
        <x:v>Local development</x:v>
      </x:c>
      <x:c r="E130" s="7" t="str">
        <x:v>Not started</x:v>
      </x:c>
      <x:c r="F130" s="7" t="str"/>
      <x:c r="G130" s="7" t="str">
        <x:v>Planned evidence requirement; no result has been observed by this tracker builder.</x:v>
      </x:c>
      <x:c r="H130" s="3" t="str">
        <x:v>Execution</x:v>
      </x:c>
      <x:c r="I130" s="3" t="str">
        <x:v>["CC-T032"]</x:v>
      </x:c>
      <x:c r="J130" s="3" t="str">
        <x:v>["CC-T032-S01"]</x:v>
      </x:c>
      <x:c r="K130" s="7" t="str"/>
      <x:c r="L130" s="8" t="str"/>
      <x:c r="M130" s="7" t="str"/>
      <x:c r="N130" s="7" t="str"/>
      <x:c r="O130" s="7" t="str"/>
      <x:c r="P130" s="3" t="str">
        <x:v>python -m pytest -q tests/acceptance/test_release_handover.py
Confirm the relevant missing or incorrect behavior for the task's acceptance criteria; record the actual failing behavior and command result.</x:v>
      </x:c>
      <x:c r="Q130" s="7" t="str"/>
      <x:c r="R130" s="7" t="str"/>
      <x:c r="S130" s="7" t="str"/>
      <x:c r="T130" s="7" t="str"/>
      <x:c r="U130" s="7" t="str"/>
    </x:row>
    <x:row r="131" ht="84" customHeight="1">
      <x:c r="A131" s="3" t="str">
        <x:v>CC-E130</x:v>
      </x:c>
      <x:c r="B131" s="3" t="str">
        <x:v>CC-T032-S02: Implementation record</x:v>
      </x:c>
      <x:c r="C131" s="3" t="str">
        <x:v>Produce versioned application, installer and model manifests.
Record supported environments and known limitations.
Reconcile all initial-release tasks and evidence.
Update the workbook and JSON snapshot.
Write installation, recovery, source-review and continuation instructions.</x:v>
      </x:c>
      <x:c r="D131" s="3" t="str">
        <x:v>Local development</x:v>
      </x:c>
      <x:c r="E131" s="7" t="str">
        <x:v>Not started</x:v>
      </x:c>
      <x:c r="F131" s="7" t="str"/>
      <x:c r="G131" s="7" t="str">
        <x:v>Planned evidence requirement; no result has been observed by this tracker builder.</x:v>
      </x:c>
      <x:c r="H131" s="3" t="str">
        <x:v>Design</x:v>
      </x:c>
      <x:c r="I131" s="3" t="str">
        <x:v>["CC-T032"]</x:v>
      </x:c>
      <x:c r="J131" s="3" t="str">
        <x:v>["CC-T032-S02"]</x:v>
      </x:c>
      <x:c r="K131" s="7" t="str"/>
      <x:c r="L131" s="8" t="str"/>
      <x:c r="M131" s="7" t="str"/>
      <x:c r="N131" s="7" t="str"/>
      <x:c r="O131" s="7" t="str"/>
      <x:c r="P131" s="3" t="str">
        <x:v>Implementation covers the task-specific behavior; no claim of verification is made until S03.</x:v>
      </x:c>
      <x:c r="Q131" s="7" t="str"/>
      <x:c r="R131" s="7" t="str"/>
      <x:c r="S131" s="7" t="str"/>
      <x:c r="T131" s="7" t="str"/>
      <x:c r="U131" s="7" t="str"/>
    </x:row>
    <x:row r="132" ht="96" customHeight="1">
      <x:c r="A132" s="3" t="str">
        <x:v>CC-E131</x:v>
      </x:c>
      <x:c r="B132" s="3" t="str">
        <x:v>CC-T032-S03: Acceptance verification</x:v>
      </x:c>
      <x:c r="C132" s="3" t="str">
        <x:v>Every completed task has matching evidence.
Deferred roadmap work is outside the completion denominator.
A new agent can identify the exact current state and next work from the tracker.
Release artifacts identify the source commit and dependency/runtime revisions.
No publication or deployment is claimed unless it actually occurred.</x:v>
      </x:c>
      <x:c r="D132" s="3" t="str">
        <x:v>Local development</x:v>
      </x:c>
      <x:c r="E132" s="7" t="str">
        <x:v>Not started</x:v>
      </x:c>
      <x:c r="F132" s="7" t="str"/>
      <x:c r="G132" s="7" t="str">
        <x:v>Planned evidence requirement; no result has been observed by this tracker builder.</x:v>
      </x:c>
      <x:c r="H132" s="3" t="str">
        <x:v>Release</x:v>
      </x:c>
      <x:c r="I132" s="3" t="str">
        <x:v>["CC-T032"]</x:v>
      </x:c>
      <x:c r="J132" s="3" t="str">
        <x:v>["CC-T032-S03"]</x:v>
      </x:c>
      <x:c r="K132" s="7" t="str"/>
      <x:c r="L132" s="8" t="str"/>
      <x:c r="M132" s="7" t="str"/>
      <x:c r="N132" s="7" t="str"/>
      <x:c r="O132" s="7" t="str"/>
      <x:c r="P132" s="3" t="str">
        <x:v>python -m pytest -q tests/acceptance/test_release_handover.py
All applicable acceptance criteria pass; separately record manual-source, hardware or clean-installation observations when required.</x:v>
      </x:c>
      <x:c r="Q132" s="7" t="str"/>
      <x:c r="R132" s="7" t="str"/>
      <x:c r="S132" s="7" t="str"/>
      <x:c r="T132" s="7" t="str"/>
      <x:c r="U132" s="7" t="str"/>
    </x:row>
    <x:row r="133" ht="54" customHeight="1">
      <x:c r="A133" s="3" t="str">
        <x:v>CC-E132</x:v>
      </x:c>
      <x:c r="B133" s="3" t="str">
        <x:v>CC-T032-S04: Review and handover</x:v>
      </x:c>
      <x:c r="C133" s="3" t="str">
        <x:v>Review findings resolved or explicitly recorded; evidence links valid; tracker consistent; commit field is blank or identifies an actual commit.</x:v>
      </x:c>
      <x:c r="D133" s="3" t="str">
        <x:v>Local development</x:v>
      </x:c>
      <x:c r="E133" s="7" t="str">
        <x:v>Not started</x:v>
      </x:c>
      <x:c r="F133" s="7" t="str"/>
      <x:c r="G133" s="7" t="str">
        <x:v>Planned evidence requirement; no result has been observed by this tracker builder.</x:v>
      </x:c>
      <x:c r="H133" s="3" t="str">
        <x:v>Review</x:v>
      </x:c>
      <x:c r="I133" s="3" t="str">
        <x:v>["CC-T032"]</x:v>
      </x:c>
      <x:c r="J133" s="3" t="str">
        <x:v>["CC-T032-S04"]</x:v>
      </x:c>
      <x:c r="K133" s="7" t="str"/>
      <x:c r="L133" s="8" t="str"/>
      <x:c r="M133" s="7" t="str"/>
      <x:c r="N133" s="7" t="str"/>
      <x:c r="O133" s="7" t="str"/>
      <x:c r="P133" s="3" t="str">
        <x:v>Independent review and all required evidence resolve task acceptance; tracker and handover agree. Record only an existing commit.</x:v>
      </x:c>
      <x:c r="Q133" s="7" t="str"/>
      <x:c r="R133" s="7" t="str"/>
      <x:c r="S133" s="7" t="str"/>
      <x:c r="T133" s="7" t="str"/>
      <x:c r="U133" s="7" t="str"/>
    </x:row>
    <x:row r="134" ht="60" customHeight="1">
      <x:c r="A134" s="3" t="str">
        <x:v>CC-E133</x:v>
      </x:c>
      <x:c r="B134" s="3" t="str">
        <x:v>CC-T033-S01: Regression fixtures and observed baseline gap</x:v>
      </x:c>
      <x:c r="C134" s="3" t="str">
        <x:v>Fixtures cover these expected behaviors and demonstrate the relevant baseline gap:
Correct timestamp citations, local transcription, preserved source identity and scoped retrieval</x:v>
      </x:c>
      <x:c r="D134" s="3" t="str">
        <x:v>Local development</x:v>
      </x:c>
      <x:c r="E134" s="7" t="str">
        <x:v>Not started</x:v>
      </x:c>
      <x:c r="F134" s="7" t="str"/>
      <x:c r="G134" s="7" t="str">
        <x:v>Planned evidence requirement; no result has been observed by this tracker builder.</x:v>
      </x:c>
      <x:c r="H134" s="3" t="str">
        <x:v>Execution</x:v>
      </x:c>
      <x:c r="I134" s="3" t="str">
        <x:v>["CC-T033"]</x:v>
      </x:c>
      <x:c r="J134" s="3" t="str">
        <x:v>["CC-T033-S01"]</x:v>
      </x:c>
      <x:c r="K134" s="7" t="str"/>
      <x:c r="L134" s="8" t="str"/>
      <x:c r="M134" s="7" t="str"/>
      <x:c r="N134" s="7" t="str"/>
      <x:c r="O134" s="7" t="str"/>
      <x:c r="P134" s="3" t="str">
        <x:v>Activation is deferred; establish and review the task acceptance suite before implementation.
Confirm the relevant missing or incorrect behavior for the task's acceptance criteria; record the actual failing behavior and command result.</x:v>
      </x:c>
      <x:c r="Q134" s="7" t="str"/>
      <x:c r="R134" s="7" t="str"/>
      <x:c r="S134" s="7" t="str"/>
      <x:c r="T134" s="7" t="str"/>
      <x:c r="U134" s="7" t="str"/>
    </x:row>
    <x:row r="135" ht="54" customHeight="1">
      <x:c r="A135" s="3" t="str">
        <x:v>CC-E134</x:v>
      </x:c>
      <x:c r="B135" s="3" t="str">
        <x:v>CC-T033-S02: Implementation record</x:v>
      </x:c>
      <x:c r="C135" s="3" t="str">
        <x:v>Activate only when: Initial release accepted; local transcript/frame provenance contract reviewed
Timestamped video ingestion</x:v>
      </x:c>
      <x:c r="D135" s="3" t="str">
        <x:v>Local development</x:v>
      </x:c>
      <x:c r="E135" s="7" t="str">
        <x:v>Not started</x:v>
      </x:c>
      <x:c r="F135" s="7" t="str"/>
      <x:c r="G135" s="7" t="str">
        <x:v>Planned evidence requirement; no result has been observed by this tracker builder.</x:v>
      </x:c>
      <x:c r="H135" s="3" t="str">
        <x:v>Design</x:v>
      </x:c>
      <x:c r="I135" s="3" t="str">
        <x:v>["CC-T033"]</x:v>
      </x:c>
      <x:c r="J135" s="3" t="str">
        <x:v>["CC-T033-S02"]</x:v>
      </x:c>
      <x:c r="K135" s="7" t="str"/>
      <x:c r="L135" s="8" t="str"/>
      <x:c r="M135" s="7" t="str"/>
      <x:c r="N135" s="7" t="str"/>
      <x:c r="O135" s="7" t="str"/>
      <x:c r="P135" s="3" t="str">
        <x:v>Implementation covers the task-specific behavior; no claim of verification is made until S03.</x:v>
      </x:c>
      <x:c r="Q135" s="7" t="str"/>
      <x:c r="R135" s="7" t="str"/>
      <x:c r="S135" s="7" t="str"/>
      <x:c r="T135" s="7" t="str"/>
      <x:c r="U135" s="7" t="str"/>
    </x:row>
    <x:row r="136" ht="60" customHeight="1">
      <x:c r="A136" s="3" t="str">
        <x:v>CC-E135</x:v>
      </x:c>
      <x:c r="B136" s="3" t="str">
        <x:v>CC-T033-S03: Acceptance verification</x:v>
      </x:c>
      <x:c r="C136" s="3" t="str">
        <x:v>Correct timestamp citations, local transcription, preserved source identity and scoped retrieval</x:v>
      </x:c>
      <x:c r="D136" s="3" t="str">
        <x:v>Local development</x:v>
      </x:c>
      <x:c r="E136" s="7" t="str">
        <x:v>Not started</x:v>
      </x:c>
      <x:c r="F136" s="7" t="str"/>
      <x:c r="G136" s="7" t="str">
        <x:v>Planned evidence requirement; no result has been observed by this tracker builder.</x:v>
      </x:c>
      <x:c r="H136" s="3" t="str">
        <x:v>Release</x:v>
      </x:c>
      <x:c r="I136" s="3" t="str">
        <x:v>["CC-T033"]</x:v>
      </x:c>
      <x:c r="J136" s="3" t="str">
        <x:v>["CC-T033-S03"]</x:v>
      </x:c>
      <x:c r="K136" s="7" t="str"/>
      <x:c r="L136" s="8" t="str"/>
      <x:c r="M136" s="7" t="str"/>
      <x:c r="N136" s="7" t="str"/>
      <x:c r="O136" s="7" t="str"/>
      <x:c r="P136" s="3" t="str">
        <x:v>Activation is deferred; establish and review the task acceptance suite before implementation.
All applicable acceptance criteria pass; separately record manual-source, hardware or clean-installation observations when required.</x:v>
      </x:c>
      <x:c r="Q136" s="7" t="str"/>
      <x:c r="R136" s="7" t="str"/>
      <x:c r="S136" s="7" t="str"/>
      <x:c r="T136" s="7" t="str"/>
      <x:c r="U136" s="7" t="str"/>
    </x:row>
    <x:row r="137" ht="54" customHeight="1">
      <x:c r="A137" s="3" t="str">
        <x:v>CC-E136</x:v>
      </x:c>
      <x:c r="B137" s="3" t="str">
        <x:v>CC-T033-S04: Review and handover</x:v>
      </x:c>
      <x:c r="C137" s="3" t="str">
        <x:v>Review findings resolved or explicitly recorded; evidence links valid; tracker consistent; commit field is blank or identifies an actual commit.</x:v>
      </x:c>
      <x:c r="D137" s="3" t="str">
        <x:v>Local development</x:v>
      </x:c>
      <x:c r="E137" s="7" t="str">
        <x:v>Not started</x:v>
      </x:c>
      <x:c r="F137" s="7" t="str"/>
      <x:c r="G137" s="7" t="str">
        <x:v>Planned evidence requirement; no result has been observed by this tracker builder.</x:v>
      </x:c>
      <x:c r="H137" s="3" t="str">
        <x:v>Review</x:v>
      </x:c>
      <x:c r="I137" s="3" t="str">
        <x:v>["CC-T033"]</x:v>
      </x:c>
      <x:c r="J137" s="3" t="str">
        <x:v>["CC-T033-S04"]</x:v>
      </x:c>
      <x:c r="K137" s="7" t="str"/>
      <x:c r="L137" s="8" t="str"/>
      <x:c r="M137" s="7" t="str"/>
      <x:c r="N137" s="7" t="str"/>
      <x:c r="O137" s="7" t="str"/>
      <x:c r="P137" s="3" t="str">
        <x:v>Independent review and all required evidence resolve task acceptance; tracker and handover agree. Record only an existing commit.</x:v>
      </x:c>
      <x:c r="Q137" s="7" t="str"/>
      <x:c r="R137" s="7" t="str"/>
      <x:c r="S137" s="7" t="str"/>
      <x:c r="T137" s="7" t="str"/>
      <x:c r="U137" s="7" t="str"/>
    </x:row>
    <x:row r="138" ht="60" customHeight="1">
      <x:c r="A138" s="3" t="str">
        <x:v>CC-E137</x:v>
      </x:c>
      <x:c r="B138" s="3" t="str">
        <x:v>CC-T034-S01: Regression fixtures and observed baseline gap</x:v>
      </x:c>
      <x:c r="C138" s="3" t="str">
        <x:v>Fixtures cover these expected behaviors and demonstrate the relevant baseline gap:
Explicit allowed reads, recorded decoder identity, replay tests and no vehicle-write commands</x:v>
      </x:c>
      <x:c r="D138" s="3" t="str">
        <x:v>Local development</x:v>
      </x:c>
      <x:c r="E138" s="7" t="str">
        <x:v>Not started</x:v>
      </x:c>
      <x:c r="F138" s="7" t="str"/>
      <x:c r="G138" s="7" t="str">
        <x:v>Planned evidence requirement; no result has been observed by this tracker builder.</x:v>
      </x:c>
      <x:c r="H138" s="3" t="str">
        <x:v>Execution</x:v>
      </x:c>
      <x:c r="I138" s="3" t="str">
        <x:v>["CC-T034"]</x:v>
      </x:c>
      <x:c r="J138" s="3" t="str">
        <x:v>["CC-T034-S01"]</x:v>
      </x:c>
      <x:c r="K138" s="7" t="str"/>
      <x:c r="L138" s="8" t="str"/>
      <x:c r="M138" s="7" t="str"/>
      <x:c r="N138" s="7" t="str"/>
      <x:c r="O138" s="7" t="str"/>
      <x:c r="P138" s="3" t="str">
        <x:v>Activation is deferred; establish and review the task acceptance suite before implementation.
Confirm the relevant missing or incorrect behavior for the task's acceptance criteria; record the actual failing behavior and command result.</x:v>
      </x:c>
      <x:c r="Q138" s="7" t="str"/>
      <x:c r="R138" s="7" t="str"/>
      <x:c r="S138" s="7" t="str"/>
      <x:c r="T138" s="7" t="str"/>
      <x:c r="U138" s="7" t="str"/>
    </x:row>
    <x:row r="139" ht="54" customHeight="1">
      <x:c r="A139" s="3" t="str">
        <x:v>CC-E138</x:v>
      </x:c>
      <x:c r="B139" s="3" t="str">
        <x:v>CC-T034-S02: Implementation record</x:v>
      </x:c>
      <x:c r="C139" s="3" t="str">
        <x:v>Activate only when: Supported hardware/protocol selected; adapter reviewed
Read-only OBD/CAN adapter</x:v>
      </x:c>
      <x:c r="D139" s="3" t="str">
        <x:v>Local development</x:v>
      </x:c>
      <x:c r="E139" s="7" t="str">
        <x:v>Not started</x:v>
      </x:c>
      <x:c r="F139" s="7" t="str"/>
      <x:c r="G139" s="7" t="str">
        <x:v>Planned evidence requirement; no result has been observed by this tracker builder.</x:v>
      </x:c>
      <x:c r="H139" s="3" t="str">
        <x:v>Design</x:v>
      </x:c>
      <x:c r="I139" s="3" t="str">
        <x:v>["CC-T034"]</x:v>
      </x:c>
      <x:c r="J139" s="3" t="str">
        <x:v>["CC-T034-S02"]</x:v>
      </x:c>
      <x:c r="K139" s="7" t="str"/>
      <x:c r="L139" s="8" t="str"/>
      <x:c r="M139" s="7" t="str"/>
      <x:c r="N139" s="7" t="str"/>
      <x:c r="O139" s="7" t="str"/>
      <x:c r="P139" s="3" t="str">
        <x:v>Implementation covers the task-specific behavior; no claim of verification is made until S03.</x:v>
      </x:c>
      <x:c r="Q139" s="7" t="str"/>
      <x:c r="R139" s="7" t="str"/>
      <x:c r="S139" s="7" t="str"/>
      <x:c r="T139" s="7" t="str"/>
      <x:c r="U139" s="7" t="str"/>
    </x:row>
    <x:row r="140" ht="60" customHeight="1">
      <x:c r="A140" s="3" t="str">
        <x:v>CC-E139</x:v>
      </x:c>
      <x:c r="B140" s="3" t="str">
        <x:v>CC-T034-S03: Acceptance verification</x:v>
      </x:c>
      <x:c r="C140" s="3" t="str">
        <x:v>Explicit allowed reads, recorded decoder identity, replay tests and no vehicle-write commands</x:v>
      </x:c>
      <x:c r="D140" s="3" t="str">
        <x:v>Local development</x:v>
      </x:c>
      <x:c r="E140" s="7" t="str">
        <x:v>Not started</x:v>
      </x:c>
      <x:c r="F140" s="7" t="str"/>
      <x:c r="G140" s="7" t="str">
        <x:v>Planned evidence requirement; no result has been observed by this tracker builder.</x:v>
      </x:c>
      <x:c r="H140" s="3" t="str">
        <x:v>Release</x:v>
      </x:c>
      <x:c r="I140" s="3" t="str">
        <x:v>["CC-T034"]</x:v>
      </x:c>
      <x:c r="J140" s="3" t="str">
        <x:v>["CC-T034-S03"]</x:v>
      </x:c>
      <x:c r="K140" s="7" t="str"/>
      <x:c r="L140" s="8" t="str"/>
      <x:c r="M140" s="7" t="str"/>
      <x:c r="N140" s="7" t="str"/>
      <x:c r="O140" s="7" t="str"/>
      <x:c r="P140" s="3" t="str">
        <x:v>Activation is deferred; establish and review the task acceptance suite before implementation.
All applicable acceptance criteria pass; separately record manual-source, hardware or clean-installation observations when required.</x:v>
      </x:c>
      <x:c r="Q140" s="7" t="str"/>
      <x:c r="R140" s="7" t="str"/>
      <x:c r="S140" s="7" t="str"/>
      <x:c r="T140" s="7" t="str"/>
      <x:c r="U140" s="7" t="str"/>
    </x:row>
    <x:row r="141" ht="54" customHeight="1">
      <x:c r="A141" s="3" t="str">
        <x:v>CC-E140</x:v>
      </x:c>
      <x:c r="B141" s="3" t="str">
        <x:v>CC-T034-S04: Review and handover</x:v>
      </x:c>
      <x:c r="C141" s="3" t="str">
        <x:v>Review findings resolved or explicitly recorded; evidence links valid; tracker consistent; commit field is blank or identifies an actual commit.</x:v>
      </x:c>
      <x:c r="D141" s="3" t="str">
        <x:v>Local development</x:v>
      </x:c>
      <x:c r="E141" s="7" t="str">
        <x:v>Not started</x:v>
      </x:c>
      <x:c r="F141" s="7" t="str"/>
      <x:c r="G141" s="7" t="str">
        <x:v>Planned evidence requirement; no result has been observed by this tracker builder.</x:v>
      </x:c>
      <x:c r="H141" s="3" t="str">
        <x:v>Review</x:v>
      </x:c>
      <x:c r="I141" s="3" t="str">
        <x:v>["CC-T034"]</x:v>
      </x:c>
      <x:c r="J141" s="3" t="str">
        <x:v>["CC-T034-S04"]</x:v>
      </x:c>
      <x:c r="K141" s="7" t="str"/>
      <x:c r="L141" s="8" t="str"/>
      <x:c r="M141" s="7" t="str"/>
      <x:c r="N141" s="7" t="str"/>
      <x:c r="O141" s="7" t="str"/>
      <x:c r="P141" s="3" t="str">
        <x:v>Independent review and all required evidence resolve task acceptance; tracker and handover agree. Record only an existing commit.</x:v>
      </x:c>
      <x:c r="Q141" s="7" t="str"/>
      <x:c r="R141" s="7" t="str"/>
      <x:c r="S141" s="7" t="str"/>
      <x:c r="T141" s="7" t="str"/>
      <x:c r="U141" s="7" t="str"/>
    </x:row>
    <x:row r="142" ht="60" customHeight="1">
      <x:c r="A142" s="3" t="str">
        <x:v>CC-E141</x:v>
      </x:c>
      <x:c r="B142" s="3" t="str">
        <x:v>CC-T035-S01: Regression fixtures and observed baseline gap</x:v>
      </x:c>
      <x:c r="C142" s="3" t="str">
        <x:v>Fixtures cover these expected behaviors and demonstrate the relevant baseline gap:
Draft labels, original references, review state and exclusion from authoritative retrieval</x:v>
      </x:c>
      <x:c r="D142" s="3" t="str">
        <x:v>Local development</x:v>
      </x:c>
      <x:c r="E142" s="7" t="str">
        <x:v>Not started</x:v>
      </x:c>
      <x:c r="F142" s="7" t="str"/>
      <x:c r="G142" s="7" t="str">
        <x:v>Planned evidence requirement; no result has been observed by this tracker builder.</x:v>
      </x:c>
      <x:c r="H142" s="3" t="str">
        <x:v>Execution</x:v>
      </x:c>
      <x:c r="I142" s="3" t="str">
        <x:v>["CC-T035"]</x:v>
      </x:c>
      <x:c r="J142" s="3" t="str">
        <x:v>["CC-T035-S01"]</x:v>
      </x:c>
      <x:c r="K142" s="7" t="str"/>
      <x:c r="L142" s="8" t="str"/>
      <x:c r="M142" s="7" t="str"/>
      <x:c r="N142" s="7" t="str"/>
      <x:c r="O142" s="7" t="str"/>
      <x:c r="P142" s="3" t="str">
        <x:v>Activation is deferred; establish and review the task acceptance suite before implementation.
Confirm the relevant missing or incorrect behavior for the task's acceptance criteria; record the actual failing behavior and command result.</x:v>
      </x:c>
      <x:c r="Q142" s="7" t="str"/>
      <x:c r="R142" s="7" t="str"/>
      <x:c r="S142" s="7" t="str"/>
      <x:c r="T142" s="7" t="str"/>
      <x:c r="U142" s="7" t="str"/>
    </x:row>
    <x:row r="143" ht="54" customHeight="1">
      <x:c r="A143" s="3" t="str">
        <x:v>CC-E142</x:v>
      </x:c>
      <x:c r="B143" s="3" t="str">
        <x:v>CC-T035-S02: Implementation record</x:v>
      </x:c>
      <x:c r="C143" s="3" t="str">
        <x:v>Activate only when: Deterministic guide system accepted; separate provider policy established
Experimental generative redrawing</x:v>
      </x:c>
      <x:c r="D143" s="3" t="str">
        <x:v>Local development</x:v>
      </x:c>
      <x:c r="E143" s="7" t="str">
        <x:v>Not started</x:v>
      </x:c>
      <x:c r="F143" s="7" t="str"/>
      <x:c r="G143" s="7" t="str">
        <x:v>Planned evidence requirement; no result has been observed by this tracker builder.</x:v>
      </x:c>
      <x:c r="H143" s="3" t="str">
        <x:v>Design</x:v>
      </x:c>
      <x:c r="I143" s="3" t="str">
        <x:v>["CC-T035"]</x:v>
      </x:c>
      <x:c r="J143" s="3" t="str">
        <x:v>["CC-T035-S02"]</x:v>
      </x:c>
      <x:c r="K143" s="7" t="str"/>
      <x:c r="L143" s="8" t="str"/>
      <x:c r="M143" s="7" t="str"/>
      <x:c r="N143" s="7" t="str"/>
      <x:c r="O143" s="7" t="str"/>
      <x:c r="P143" s="3" t="str">
        <x:v>Implementation covers the task-specific behavior; no claim of verification is made until S03.</x:v>
      </x:c>
      <x:c r="Q143" s="7" t="str"/>
      <x:c r="R143" s="7" t="str"/>
      <x:c r="S143" s="7" t="str"/>
      <x:c r="T143" s="7" t="str"/>
      <x:c r="U143" s="7" t="str"/>
    </x:row>
    <x:row r="144" ht="60" customHeight="1">
      <x:c r="A144" s="3" t="str">
        <x:v>CC-E143</x:v>
      </x:c>
      <x:c r="B144" s="3" t="str">
        <x:v>CC-T035-S03: Acceptance verification</x:v>
      </x:c>
      <x:c r="C144" s="3" t="str">
        <x:v>Draft labels, original references, review state and exclusion from authoritative retrieval</x:v>
      </x:c>
      <x:c r="D144" s="3" t="str">
        <x:v>Local development</x:v>
      </x:c>
      <x:c r="E144" s="7" t="str">
        <x:v>Not started</x:v>
      </x:c>
      <x:c r="F144" s="7" t="str"/>
      <x:c r="G144" s="7" t="str">
        <x:v>Planned evidence requirement; no result has been observed by this tracker builder.</x:v>
      </x:c>
      <x:c r="H144" s="3" t="str">
        <x:v>Release</x:v>
      </x:c>
      <x:c r="I144" s="3" t="str">
        <x:v>["CC-T035"]</x:v>
      </x:c>
      <x:c r="J144" s="3" t="str">
        <x:v>["CC-T035-S03"]</x:v>
      </x:c>
      <x:c r="K144" s="7" t="str"/>
      <x:c r="L144" s="8" t="str"/>
      <x:c r="M144" s="7" t="str"/>
      <x:c r="N144" s="7" t="str"/>
      <x:c r="O144" s="7" t="str"/>
      <x:c r="P144" s="3" t="str">
        <x:v>Activation is deferred; establish and review the task acceptance suite before implementation.
All applicable acceptance criteria pass; separately record manual-source, hardware or clean-installation observations when required.</x:v>
      </x:c>
      <x:c r="Q144" s="7" t="str"/>
      <x:c r="R144" s="7" t="str"/>
      <x:c r="S144" s="7" t="str"/>
      <x:c r="T144" s="7" t="str"/>
      <x:c r="U144" s="7" t="str"/>
    </x:row>
    <x:row r="145" ht="54" customHeight="1">
      <x:c r="A145" s="3" t="str">
        <x:v>CC-E144</x:v>
      </x:c>
      <x:c r="B145" s="3" t="str">
        <x:v>CC-T035-S04: Review and handover</x:v>
      </x:c>
      <x:c r="C145" s="3" t="str">
        <x:v>Review findings resolved or explicitly recorded; evidence links valid; tracker consistent; commit field is blank or identifies an actual commit.</x:v>
      </x:c>
      <x:c r="D145" s="3" t="str">
        <x:v>Local development</x:v>
      </x:c>
      <x:c r="E145" s="7" t="str">
        <x:v>Not started</x:v>
      </x:c>
      <x:c r="F145" s="7" t="str"/>
      <x:c r="G145" s="7" t="str">
        <x:v>Planned evidence requirement; no result has been observed by this tracker builder.</x:v>
      </x:c>
      <x:c r="H145" s="3" t="str">
        <x:v>Review</x:v>
      </x:c>
      <x:c r="I145" s="3" t="str">
        <x:v>["CC-T035"]</x:v>
      </x:c>
      <x:c r="J145" s="3" t="str">
        <x:v>["CC-T035-S04"]</x:v>
      </x:c>
      <x:c r="K145" s="7" t="str"/>
      <x:c r="L145" s="8" t="str"/>
      <x:c r="M145" s="7" t="str"/>
      <x:c r="N145" s="7" t="str"/>
      <x:c r="O145" s="7" t="str"/>
      <x:c r="P145" s="3" t="str">
        <x:v>Independent review and all required evidence resolve task acceptance; tracker and handover agree. Record only an existing commit.</x:v>
      </x:c>
      <x:c r="Q145" s="7" t="str"/>
      <x:c r="R145" s="7" t="str"/>
      <x:c r="S145" s="7" t="str"/>
      <x:c r="T145" s="7" t="str"/>
      <x:c r="U145" s="7" t="str"/>
    </x:row>
    <x:row r="146" ht="54" customHeight="1">
      <x:c r="A146" s="3" t="str">
        <x:v>CC-E145</x:v>
      </x:c>
      <x:c r="B146" s="3" t="str">
        <x:v>Preserved planning input: Prompt.md</x:v>
      </x:c>
      <x:c r="C146" s="3" t="str">
        <x:v>Approved plan input; attachment instructions do not supply authorization</x:v>
      </x:c>
      <x:c r="D146" s="3" t="str">
        <x:v>Local planning inputs</x:v>
      </x:c>
      <x:c r="E146" s="7" t="str">
        <x:v>Done</x:v>
      </x:c>
      <x:c r="F146" s="7" t="str">
        <x:v>work/inputs/Prompt.md</x:v>
      </x:c>
      <x:c r="G146" s="7" t="str">
        <x:v>Builder verified preserved file bytes against the recorded input manifest. This is source provenance, not application execution.</x:v>
      </x:c>
      <x:c r="H146" s="3" t="str">
        <x:v>Source</x:v>
      </x:c>
      <x:c r="I146" s="3" t="str">
        <x:v>["CC-T000"]</x:v>
      </x:c>
      <x:c r="J146" s="3" t="str">
        <x:v>["CC-T000-S01"]</x:v>
      </x:c>
      <x:c r="K146" s="7" t="str">
        <x:v>77b835591e80960d6b62010d309babba2890bda6ee074364a08c0ffe5bc578bf</x:v>
      </x:c>
      <x:c r="L146" s="8" t="n">
        <x:v>46275.51530535879</x:v>
      </x:c>
      <x:c r="M146" s="7" t="str">
        <x:v>Node v24.19.0; SHA-256</x:v>
      </x:c>
      <x:c r="N146" s="7" t="str"/>
      <x:c r="O146" s="7" t="str"/>
      <x:c r="P146" s="3" t="str">
        <x:v>Preserved input bytes match their input-manifest digest.</x:v>
      </x:c>
      <x:c r="Q146" s="7" t="str">
        <x:v>Digest matches preserved input manifest.</x:v>
      </x:c>
      <x:c r="R146" s="7" t="str">
        <x:v>77b835591e80960d6b62010d309babba2890bda6ee074364a08c0ffe5bc578bf</x:v>
      </x:c>
      <x:c r="S146" s="7" t="str"/>
      <x:c r="T146" s="7" t="str"/>
      <x:c r="U146" s="7" t="str"/>
    </x:row>
    <x:row r="147" ht="54" customHeight="1">
      <x:c r="A147" s="3" t="str">
        <x:v>CC-E146</x:v>
      </x:c>
      <x:c r="B147" s="3" t="str">
        <x:v>Preserved planning input: CC_Workshop_RAG_Concept.md</x:v>
      </x:c>
      <x:c r="C147" s="3" t="str">
        <x:v>Approved plan input; attachment instructions do not supply authorization</x:v>
      </x:c>
      <x:c r="D147" s="3" t="str">
        <x:v>Local planning inputs</x:v>
      </x:c>
      <x:c r="E147" s="7" t="str">
        <x:v>Done</x:v>
      </x:c>
      <x:c r="F147" s="7" t="str">
        <x:v>work/inputs/CC_Workshop_RAG_Concept.md</x:v>
      </x:c>
      <x:c r="G147" s="7" t="str">
        <x:v>Builder verified preserved file bytes against the recorded input manifest. This is source provenance, not application execution.</x:v>
      </x:c>
      <x:c r="H147" s="3" t="str">
        <x:v>Source</x:v>
      </x:c>
      <x:c r="I147" s="3" t="str">
        <x:v>["CC-T000"]</x:v>
      </x:c>
      <x:c r="J147" s="3" t="str">
        <x:v>["CC-T000-S01"]</x:v>
      </x:c>
      <x:c r="K147" s="7" t="str">
        <x:v>990b11e0d56b6a956c0938afd5dfc58a522cd8566ede457d655e9d43566e7d17</x:v>
      </x:c>
      <x:c r="L147" s="8" t="n">
        <x:v>46275.51530535879</x:v>
      </x:c>
      <x:c r="M147" s="7" t="str">
        <x:v>Node v24.19.0; SHA-256</x:v>
      </x:c>
      <x:c r="N147" s="7" t="str"/>
      <x:c r="O147" s="7" t="str"/>
      <x:c r="P147" s="3" t="str">
        <x:v>Preserved input bytes match their input-manifest digest.</x:v>
      </x:c>
      <x:c r="Q147" s="7" t="str">
        <x:v>Digest matches preserved input manifest.</x:v>
      </x:c>
      <x:c r="R147" s="7" t="str">
        <x:v>990b11e0d56b6a956c0938afd5dfc58a522cd8566ede457d655e9d43566e7d17</x:v>
      </x:c>
      <x:c r="S147" s="7" t="str"/>
      <x:c r="T147" s="7" t="str"/>
      <x:c r="U147" s="7" t="str"/>
    </x:row>
    <x:row r="148" ht="54" customHeight="1">
      <x:c r="A148" s="3" t="str">
        <x:v>CC-E147</x:v>
      </x:c>
      <x:c r="B148" s="3" t="str">
        <x:v>Preserved planning input: 20260908modelagnosticatomicmediaplatformtracker.xlsx</x:v>
      </x:c>
      <x:c r="C148" s="3" t="str">
        <x:v>Tracking structure only; legacy execution state excluded</x:v>
      </x:c>
      <x:c r="D148" s="3" t="str">
        <x:v>Local planning inputs</x:v>
      </x:c>
      <x:c r="E148" s="7" t="str">
        <x:v>Done</x:v>
      </x:c>
      <x:c r="F148" s="7" t="str">
        <x:v>work/inputs/20260908modelagnosticatomicmediaplatformtracker.xlsx</x:v>
      </x:c>
      <x:c r="G148" s="7" t="str">
        <x:v>Builder verified preserved file bytes against the recorded input manifest. This is source provenance, not application execution.</x:v>
      </x:c>
      <x:c r="H148" s="3" t="str">
        <x:v>Source</x:v>
      </x:c>
      <x:c r="I148" s="3" t="str">
        <x:v>["CC-T000"]</x:v>
      </x:c>
      <x:c r="J148" s="3" t="str">
        <x:v>["CC-T000-S01"]</x:v>
      </x:c>
      <x:c r="K148" s="7" t="str">
        <x:v>cf85789d36ab091567d8b12b4f6196b79658a338763f5fdb715e5ea0a3e4718a</x:v>
      </x:c>
      <x:c r="L148" s="8" t="n">
        <x:v>46275.51530535879</x:v>
      </x:c>
      <x:c r="M148" s="7" t="str">
        <x:v>Node v24.19.0; SHA-256</x:v>
      </x:c>
      <x:c r="N148" s="7" t="str"/>
      <x:c r="O148" s="7" t="str"/>
      <x:c r="P148" s="3" t="str">
        <x:v>Preserved input bytes match their input-manifest digest.</x:v>
      </x:c>
      <x:c r="Q148" s="7" t="str">
        <x:v>Digest matches preserved input manifest.</x:v>
      </x:c>
      <x:c r="R148" s="7" t="str">
        <x:v>cf85789d36ab091567d8b12b4f6196b79658a338763f5fdb715e5ea0a3e4718a</x:v>
      </x:c>
      <x:c r="S148" s="7" t="str"/>
      <x:c r="T148" s="7" t="str"/>
      <x:c r="U148" s="7" t="str"/>
    </x:row>
    <x:row r="149" ht="54" customHeight="1">
      <x:c r="A149" s="3" t="str">
        <x:v>CC-E148</x:v>
      </x:c>
      <x:c r="B149" s="3" t="str">
        <x:v>Retained failed tracker validation attempt</x:v>
      </x:c>
      <x:c r="C149" s="3" t="str">
        <x:v>Initial nested structured-reference calculation failed. Subsequent build used an evaluated equivalent structured-reference syntax.</x:v>
      </x:c>
      <x:c r="D149" s="3" t="str">
        <x:v>Local development</x:v>
      </x:c>
      <x:c r="E149" s="7" t="str">
        <x:v>Done</x:v>
      </x:c>
      <x:c r="F149" s="7" t="str">
        <x:v>https://github.com/walladanger/vw-cc-2014-rag/blob/codex/cc-workshop-offline/docs/automotive-rag/evidence/work/tracker-first-run-failure.md</x:v>
      </x:c>
      <x:c r="G149" s="7" t="str"/>
      <x:c r="H149" s="3" t="str">
        <x:v>Execution</x:v>
      </x:c>
      <x:c r="I149" s="3" t="str">
        <x:v>["CC-T000"]</x:v>
      </x:c>
      <x:c r="J149" s="3" t="str">
        <x:v>["CC-T000-S04"]</x:v>
      </x:c>
      <x:c r="K149" s="7" t="str">
        <x:v>ef3c63651b4b3655fe25302a34538da9c494d04413bc0223ed7d81f79ce1c43e</x:v>
      </x:c>
      <x:c r="L149" s="8" t="n">
        <x:v>46275.517036006946</x:v>
      </x:c>
      <x:c r="M149" s="7" t="str">
        <x:v>Node v24.19.0; bundled artifact-tool</x:v>
      </x:c>
      <x:c r="N149" s="7" t="str">
        <x:v>node work/build-tracker.mjs</x:v>
      </x:c>
      <x:c r="O149" s="7" t="n">
        <x:v>1</x:v>
      </x:c>
      <x:c r="P149" s="3" t="str">
        <x:v>No formula errors</x:v>
      </x:c>
      <x:c r="Q149" s="7" t="str">
        <x:v>Tasks!X3 formula error; no workbook published by failed attempt.</x:v>
      </x:c>
      <x:c r="R149" s="7" t="str"/>
      <x:c r="S149" s="7" t="str">
        <x:v>CC-RUN-tracker-001</x:v>
      </x:c>
      <x:c r="T149" s="7" t="str">
        <x:v>Coordinator</x:v>
      </x:c>
      <x:c r="U149" s="7" t="str"/>
    </x:row>
    <x:row r="150" ht="120" customHeight="1">
      <x:c r="A150" s="3" t="str">
        <x:v>CC-E149</x:v>
      </x:c>
      <x:c r="B150" s="3" t="str">
        <x:v>CC-T000-S02: Create the six-tab tracker with the schemas and formulas above.</x:v>
      </x:c>
      <x:c r="C150" s="3" t="str">
        <x:v>Create the six-tab tracker with the schemas and formulas above.</x:v>
      </x:c>
      <x:c r="D150" s="3" t="str">
        <x:v>Local development</x:v>
      </x:c>
      <x:c r="E150" s="7" t="str">
        <x:v>Done</x:v>
      </x:c>
      <x:c r="F150" s="7" t="str">
        <x:v>https://github.com/walladanger/vw-cc-2014-rag/blob/codex/cc-workshop-offline/docs/automotive-rag/evidence/work/evidence/CC-SNAPSHOT-20260910123139171-cdc4c0fd/CC_Workshop_Planning_Tracker.xlsx</x:v>
      </x:c>
      <x:c r="G150" s="7" t="str">
        <x:v>Immutable snapshot capture; replaces prior capture location without deleting the historical record.</x:v>
      </x:c>
      <x:c r="H150" s="3" t="str">
        <x:v>Design</x:v>
      </x:c>
      <x:c r="I150" s="3" t="str">
        <x:v>["CC-T000"]</x:v>
      </x:c>
      <x:c r="J150" s="3" t="str">
        <x:v>["CC-T000-S02"]</x:v>
      </x:c>
      <x:c r="K150" s="7" t="str">
        <x:v>001104dc153a34917efc4cf75596223fe3dbf966e677ba10c5df4b15cda3d9bd</x:v>
      </x:c>
      <x:c r="L150" s="8" t="n">
        <x:v>46275.52356541667</x:v>
      </x:c>
      <x:c r="M150" s="7" t="str">
        <x:v>Windows; Node v24.19.0; Python 3.12.14; package versions in baseline report</x:v>
      </x:c>
      <x:c r="N150" s="7" t="str"/>
      <x:c r="O150" s="7" t="str"/>
      <x:c r="P150" s="3" t="str">
        <x:v>Create the six-tab tracker with the schemas and formulas above.
Task acceptance:
Original workbook unchanged.
No legacy completion claims or approvals.
All IDs unique and dependency references valid.
Initial engineering progress is zero.
Research evidence is recorded separately.
Every sheet is visually readable.
The JSON export represents the same snapshot as Excel.</x:v>
      </x:c>
      <x:c r="Q150" s="7" t="str">
        <x:v>Saved tracker schema, tables, statuses and progress formulas verified; immutable checkpoint replaces a mutable builder-file capture.</x:v>
      </x:c>
      <x:c r="R150" s="7" t="str"/>
      <x:c r="S150" s="7" t="str">
        <x:v>CC-RUN-tracker-checkpoint-003</x:v>
      </x:c>
      <x:c r="T150" s="7" t="str">
        <x:v>Coordinator</x:v>
      </x:c>
      <x:c r="U150" s="7" t="str">
        <x:v>CC-E002</x:v>
      </x:c>
    </x:row>
    <x:row r="151" ht="132" customHeight="1">
      <x:c r="A151" s="3" t="str">
        <x:v>CC-E150</x:v>
      </x:c>
      <x:c r="B151" s="3" t="str">
        <x:v>CC-T000-S03: Populate this plan’s tasks, steps, decisions, requirements and evidence requirements.</x:v>
      </x:c>
      <x:c r="C151" s="3" t="str">
        <x:v>Populate this plan’s tasks, steps, decisions, requirements and evidence requirements.</x:v>
      </x:c>
      <x:c r="D151" s="3" t="str">
        <x:v>Local development</x:v>
      </x:c>
      <x:c r="E151" s="7" t="str">
        <x:v>Done</x:v>
      </x:c>
      <x:c r="F151" s="7" t="str">
        <x:v>https://github.com/walladanger/vw-cc-2014-rag/blob/codex/cc-workshop-offline/docs/automotive-rag/evidence/work/evidence/CC-SNAPSHOT-20260910123139171-cdc4c0fd/CC_Workshop_Implementation_Plan.json</x:v>
      </x:c>
      <x:c r="G151" s="7" t="str">
        <x:v>Immutable snapshot capture; replaces prior capture location without deleting the historical record.</x:v>
      </x:c>
      <x:c r="H151" s="3" t="str">
        <x:v>Design</x:v>
      </x:c>
      <x:c r="I151" s="3" t="str">
        <x:v>["CC-T000"]</x:v>
      </x:c>
      <x:c r="J151" s="3" t="str">
        <x:v>["CC-T000-S03"]</x:v>
      </x:c>
      <x:c r="K151" s="7" t="str">
        <x:v>efcc49763ea908ae55a4fecb21e078afb6f9652f18d0743852e6108c9e56ab40</x:v>
      </x:c>
      <x:c r="L151" s="8" t="n">
        <x:v>46275.52356541667</x:v>
      </x:c>
      <x:c r="M151" s="7" t="str">
        <x:v>Windows; Node v24.19.0; Python 3.12.14; package versions in baseline report</x:v>
      </x:c>
      <x:c r="N151" s="7" t="str"/>
      <x:c r="O151" s="7" t="str"/>
      <x:c r="P151" s="3" t="str">
        <x:v>Populate this plan’s tasks, steps, decisions, requirements and evidence requirements.
Task acceptance:
Original workbook unchanged.
No legacy completion claims or approvals.
All IDs unique and dependency references valid.
Initial engineering progress is zero.
Research evidence is recorded separately.
Every sheet is visually readable.
The JSON export represents the same snapshot as Excel.</x:v>
      </x:c>
      <x:c r="Q151" s="7" t="str">
        <x:v>Complete plan and execution records retained in the matching JSON snapshot. All populated timestamp fields are UTC ISO strings. Counts and snapshot reconcile with Excel.</x:v>
      </x:c>
      <x:c r="R151" s="7" t="str"/>
      <x:c r="S151" s="7" t="str">
        <x:v>CC-RUN-tracker-checkpoint-003</x:v>
      </x:c>
      <x:c r="T151" s="7" t="str">
        <x:v>Coordinator</x:v>
      </x:c>
      <x:c r="U151" s="7" t="str">
        <x:v>CC-E003</x:v>
      </x:c>
    </x:row>
    <x:row r="152" ht="120" customHeight="1">
      <x:c r="A152" s="3" t="str">
        <x:v>CC-E151</x:v>
      </x:c>
      <x:c r="B152" s="3" t="str">
        <x:v>CC-T000-S04: Validate the saved workbook and generated JSON snapshot.</x:v>
      </x:c>
      <x:c r="C152" s="3" t="str">
        <x:v>Validate the saved workbook and generated JSON snapshot.</x:v>
      </x:c>
      <x:c r="D152" s="3" t="str">
        <x:v>Local development</x:v>
      </x:c>
      <x:c r="E152" s="7" t="str">
        <x:v>Done</x:v>
      </x:c>
      <x:c r="F152" s="7" t="str">
        <x:v>https://github.com/walladanger/vw-cc-2014-rag/blob/codex/cc-workshop-offline/docs/automotive-rag/evidence/work/evidence/CC-SNAPSHOT-20260910123139171-cdc4c0fd/saved-tracker-validation.json</x:v>
      </x:c>
      <x:c r="G152" s="7" t="str">
        <x:v>Immutable snapshot capture; replaces prior capture location without deleting the historical record.</x:v>
      </x:c>
      <x:c r="H152" s="3" t="str">
        <x:v>Review</x:v>
      </x:c>
      <x:c r="I152" s="3" t="str">
        <x:v>["CC-T000"]</x:v>
      </x:c>
      <x:c r="J152" s="3" t="str">
        <x:v>["CC-T000-S04"]</x:v>
      </x:c>
      <x:c r="K152" s="7" t="str">
        <x:v>1223d1ca78733837a031811bff8addb975600251094bc6932d6520c032daae1a</x:v>
      </x:c>
      <x:c r="L152" s="8" t="n">
        <x:v>46275.52356541667</x:v>
      </x:c>
      <x:c r="M152" s="7" t="str">
        <x:v>Windows; Node v24.19.0; Python 3.12.14; package versions in baseline report</x:v>
      </x:c>
      <x:c r="N152" s="7" t="str"/>
      <x:c r="O152" s="7" t="str"/>
      <x:c r="P152" s="3" t="str">
        <x:v>Validate the saved workbook and generated JSON snapshot.
Task acceptance:
Original workbook unchanged.
No legacy completion claims or approvals.
All IDs unique and dependency references valid.
Initial engineering progress is zero.
Research evidence is recorded separately.
Every sheet is visually readable.
The JSON export represents the same snapshot as Excel.</x:v>
      </x:c>
      <x:c r="Q152" s="7" t="str">
        <x:v>Saved-file validation passed, all six worksheets previously reviewed, corrected README title visually checked. Original source hashes and workbook/JSON snapshot agree.</x:v>
      </x:c>
      <x:c r="R152" s="7" t="str"/>
      <x:c r="S152" s="7" t="str">
        <x:v>CC-RUN-tracker-checkpoint-003</x:v>
      </x:c>
      <x:c r="T152" s="7" t="str">
        <x:v>Coordinator</x:v>
      </x:c>
      <x:c r="U152" s="7" t="str">
        <x:v>CC-E004</x:v>
      </x:c>
    </x:row>
    <x:row r="153" ht="54" customHeight="1">
      <x:c r="A153" s="3" t="str">
        <x:v>CC-E152</x:v>
      </x:c>
      <x:c r="B153" s="3" t="str">
        <x:v>User stop and save checkpoint</x:v>
      </x:c>
      <x:c r="C153" s="3" t="str">
        <x:v>User stop and save checkpoint</x:v>
      </x:c>
      <x:c r="D153" s="3" t="str">
        <x:v>Stopped-work checkpoint</x:v>
      </x:c>
      <x:c r="E153" s="7" t="str">
        <x:v>Done</x:v>
      </x:c>
      <x:c r="F153" s="7" t="str">
        <x:v>https://github.com/walladanger/vw-cc-2014-rag/blob/codex/cc-workshop-offline/docs/automotive-rag/evidence/outputs/CC_Workshop_Handover.md</x:v>
      </x:c>
      <x:c r="G153" s="7" t="str">
        <x:v>Captured observation only; does not mark unfinished engineering complete.</x:v>
      </x:c>
      <x:c r="H153" s="3" t="str">
        <x:v>Decision</x:v>
      </x:c>
      <x:c r="I153" s="3" t="str">
        <x:v>["CC-T003", "CC-T009"]</x:v>
      </x:c>
      <x:c r="J153" s="3" t="str">
        <x:v>[]</x:v>
      </x:c>
      <x:c r="K153" s="7" t="str">
        <x:v>fa969271dbb667bcb8ef4880aa60990aff0132c1bb2ac0a74f88e571a9543308</x:v>
      </x:c>
      <x:c r="L153" s="8" t="n">
        <x:v>46275.54183342592</x:v>
      </x:c>
      <x:c r="M153" s="7" t="str">
        <x:v>Windows; Python 3.12.14 development environment; Git for Windows</x:v>
      </x:c>
      <x:c r="N153" s="7" t="str"/>
      <x:c r="O153" s="7" t="str"/>
      <x:c r="P153" s="3" t="str">
        <x:v>Stop implementation and preserve exact state.</x:v>
      </x:c>
      <x:c r="Q153" s="7" t="str">
        <x:v>All implementation agents interrupted. Runtime source and WIP tests committed and pushed. Feature work stopped.</x:v>
      </x:c>
      <x:c r="R153" s="7" t="str">
        <x:v>7a10d8b9b1bc955cada8df90404c8d0e3e557583</x:v>
      </x:c>
      <x:c r="S153" s="7" t="str">
        <x:v>CC-RUN-user-stop-20260910</x:v>
      </x:c>
      <x:c r="T153" s="7" t="str">
        <x:v>Coordinator</x:v>
      </x:c>
      <x:c r="U153" s="7" t="str"/>
    </x:row>
    <x:row r="154" ht="54" customHeight="1">
      <x:c r="A154" s="3" t="str">
        <x:v>CC-E153</x:v>
      </x:c>
      <x:c r="B154" s="3" t="str">
        <x:v>Pinned CPU runtime archive hash inspection</x:v>
      </x:c>
      <x:c r="C154" s="3" t="str">
        <x:v>Pinned CPU runtime archive hash inspection</x:v>
      </x:c>
      <x:c r="D154" s="3" t="str">
        <x:v>Stopped-work checkpoint</x:v>
      </x:c>
      <x:c r="E154" s="7" t="str">
        <x:v>Done</x:v>
      </x:c>
      <x:c r="F154" s="7" t="str">
        <x:v>https://github.com/walladanger/vw-cc-2014-rag/blob/codex/cc-workshop-offline/docs/automotive-rag/evidence/work/evidence/runtime-archive-inspection.json</x:v>
      </x:c>
      <x:c r="G154" s="7" t="str">
        <x:v>Captured observation only; does not mark unfinished engineering complete.</x:v>
      </x:c>
      <x:c r="H154" s="3" t="str">
        <x:v>Research</x:v>
      </x:c>
      <x:c r="I154" s="3" t="str">
        <x:v>["CC-T010", "CC-T011"]</x:v>
      </x:c>
      <x:c r="J154" s="3" t="str">
        <x:v>[]</x:v>
      </x:c>
      <x:c r="K154" s="7" t="str">
        <x:v>1abd41ae8855274abef56ff48fb8f6f1526fcba27ac7ad1f14b5b33604fb5a80</x:v>
      </x:c>
      <x:c r="L154" s="8" t="n">
        <x:v>46275.54183342592</x:v>
      </x:c>
      <x:c r="M154" s="7" t="str">
        <x:v>Windows; Python 3.12.14 development environment; Git for Windows</x:v>
      </x:c>
      <x:c r="N154" s="7" t="str"/>
      <x:c r="O154" s="7" t="str"/>
      <x:c r="P154" s="3" t="str">
        <x:v>Preserve pinned archive identity and distinguish inspection from runtime acceptance.</x:v>
      </x:c>
      <x:c r="Q154" s="7" t="str">
        <x:v>18,407,457 bytes; published SHA256 matched; 51 entries inspected. Not extracted, executed, benchmarked or supported.</x:v>
      </x:c>
      <x:c r="R154" s="7" t="str">
        <x:v>7a10d8b9b1bc955cada8df90404c8d0e3e557583</x:v>
      </x:c>
      <x:c r="S154" s="7" t="str">
        <x:v>CC-RUN-user-stop-20260910</x:v>
      </x:c>
      <x:c r="T154" s="7" t="str">
        <x:v>Coordinator</x:v>
      </x:c>
      <x:c r="U154" s="7" t="str"/>
    </x:row>
    <x:row r="155" ht="54" customHeight="1">
      <x:c r="A155" s="3" t="str">
        <x:v>CC-E154</x:v>
      </x:c>
      <x:c r="B155" s="3" t="str">
        <x:v>Resume authorization and checkpoint reconciliation</x:v>
      </x:c>
      <x:c r="C155" s="3" t="str">
        <x:v>Saved project workbook and preserved planning input hashes reconciled.</x:v>
      </x:c>
      <x:c r="D155" s="3" t="str">
        <x:v>Local development</x:v>
      </x:c>
      <x:c r="E155" s="7" t="str">
        <x:v>Done</x:v>
      </x:c>
      <x:c r="F155" s="7" t="str">
        <x:v>work/evidence/resume-20260912.md</x:v>
      </x:c>
      <x:c r="G155" s="7" t="str">
        <x:v>Planning observation only; not an engineering acceptance result.</x:v>
      </x:c>
      <x:c r="H155" s="3" t="str">
        <x:v>Decision</x:v>
      </x:c>
      <x:c r="I155" s="3" t="str">
        <x:v>["CC-T003","CC-T009"]</x:v>
      </x:c>
      <x:c r="J155" s="3" t="str">
        <x:v>[]</x:v>
      </x:c>
      <x:c r="K155" s="7" t="str">
        <x:v>87aa45fc1e96070c8dab2a8ff00fc9b03d637b95be157fd5697376dfba28c379</x:v>
      </x:c>
      <x:c r="L155" s="8" t="n">
        <x:v>46277.745404166664</x:v>
      </x:c>
      <x:c r="M155" s="7" t="str"/>
      <x:c r="N155" s="7" t="str"/>
      <x:c r="O155" s="7" t="str"/>
      <x:c r="P155" s="3" t="str">
        <x:v>Resume exact saved project state without overwriting external changes.</x:v>
      </x:c>
      <x:c r="Q155" s="7" t="str">
        <x:v>User hold superseded. Existing project tracker and branch restored as execution baseline. Changed Downloads template left untouched.</x:v>
      </x:c>
      <x:c r="R155" s="7" t="str">
        <x:v>7dcc5f05015e8a995e37eb9eea46f683318bf7d9</x:v>
      </x:c>
      <x:c r="S155" s="7" t="str">
        <x:v>CC-RUN-resume-20260912</x:v>
      </x:c>
      <x:c r="T155" s="7" t="str">
        <x:v>Coordinator</x:v>
      </x:c>
      <x:c r="U155" s="7" t="str"/>
    </x:row>
    <x:row r="156" ht="54" customHeight="1">
      <x:c r="A156" s="3" t="str">
        <x:v>CC-E155</x:v>
      </x:c>
      <x:c r="B156" s="3" t="str">
        <x:v>Remote source and stale Excel reconciliation</x:v>
      </x:c>
      <x:c r="C156" s="3" t="str">
        <x:v>Remote source and stale Excel reconciliation</x:v>
      </x:c>
      <x:c r="D156" s="3" t="str">
        <x:v>Isolated Windows development checkout</x:v>
      </x:c>
      <x:c r="E156" s="7" t="str">
        <x:v>Done</x:v>
      </x:c>
      <x:c r="F156" s="7" t="str">
        <x:v>work/evidence/remote-checkpoint-reconciliation-20260912.md</x:v>
      </x:c>
      <x:c r="G156" s="7" t="str">
        <x:v>Partial task evidence. Does not mark all affected tasks complete.</x:v>
      </x:c>
      <x:c r="H156" s="3" t="str">
        <x:v>Review</x:v>
      </x:c>
      <x:c r="I156" s="3" t="str">
        <x:v>["CC-T003","CC-T009","CC-T010","CC-T011","CC-T012"]</x:v>
      </x:c>
      <x:c r="J156" s="3" t="str">
        <x:v>[]</x:v>
      </x:c>
      <x:c r="K156" s="7" t="str">
        <x:v>5667b6933d025879256fe42b7be581d8afec32458a3bcf656cfe7c4665a7f6c5</x:v>
      </x:c>
      <x:c r="L156" s="8" t="n">
        <x:v>46277.75174638889</x:v>
      </x:c>
      <x:c r="M156" s="7" t="str">
        <x:v>Windows; Python 3.12.14; pytest 9.1.1</x:v>
      </x:c>
      <x:c r="N156" s="7" t="str">
        <x:v>git fetch; git diff; saved workbook/hash inspection</x:v>
      </x:c>
      <x:c r="O156" s="7" t="n">
        <x:v>0</x:v>
      </x:c>
      <x:c r="P156" s="3" t="str">
        <x:v>Preserve remote work and verify existing acceptance fixtures.</x:v>
      </x:c>
      <x:c r="Q156" s="7" t="str">
        <x:v>114 passed, 1 skipped, 92 subtests passed. Full task gates still require review and missing integration evidence.</x:v>
      </x:c>
      <x:c r="R156" s="7" t="str">
        <x:v>d9d94ed854198b9c0252dcfdaf3b5afccb06c217</x:v>
      </x:c>
      <x:c r="S156" s="7" t="str">
        <x:v>CC-RUN-remote-reconcile-20260912</x:v>
      </x:c>
      <x:c r="T156" s="7" t="str">
        <x:v>Coordinator</x:v>
      </x:c>
      <x:c r="U156" s="7" t="str"/>
    </x:row>
    <x:row r="157" ht="54" customHeight="1">
      <x:c r="A157" s="3" t="str">
        <x:v>CC-E156</x:v>
      </x:c>
      <x:c r="B157" s="3" t="str">
        <x:v>Fresh full-suite verification of remote checkpoint</x:v>
      </x:c>
      <x:c r="C157" s="3" t="str">
        <x:v>Fresh full-suite verification of remote checkpoint</x:v>
      </x:c>
      <x:c r="D157" s="3" t="str">
        <x:v>Isolated Windows development checkout</x:v>
      </x:c>
      <x:c r="E157" s="7" t="str">
        <x:v>Done</x:v>
      </x:c>
      <x:c r="F157" s="7" t="str">
        <x:v>work/evidence/reconciled-remote-baseline-20260912.xml</x:v>
      </x:c>
      <x:c r="G157" s="7" t="str">
        <x:v>Partial task evidence. Does not mark all affected tasks complete.</x:v>
      </x:c>
      <x:c r="H157" s="3" t="str">
        <x:v>Execution</x:v>
      </x:c>
      <x:c r="I157" s="3" t="str">
        <x:v>["CC-T003","CC-T009","CC-T010","CC-T011","CC-T012"]</x:v>
      </x:c>
      <x:c r="J157" s="3" t="str">
        <x:v>[]</x:v>
      </x:c>
      <x:c r="K157" s="7" t="str">
        <x:v>702ea3844a7a7152637345cfdf6e9781baf4aa869df2ae14cb8d689a67cd7652</x:v>
      </x:c>
      <x:c r="L157" s="8" t="n">
        <x:v>46277.75174638889</x:v>
      </x:c>
      <x:c r="M157" s="7" t="str">
        <x:v>Windows; Python 3.12.14; pytest 9.1.1</x:v>
      </x:c>
      <x:c r="N157" s="7" t="str">
        <x:v>python -m pytest -q tests --junitxml=../evidence/reconciled-remote-baseline-20260912.xml</x:v>
      </x:c>
      <x:c r="O157" s="7" t="n">
        <x:v>0</x:v>
      </x:c>
      <x:c r="P157" s="3" t="str">
        <x:v>Preserve remote work and verify existing acceptance fixtures.</x:v>
      </x:c>
      <x:c r="Q157" s="7" t="str">
        <x:v>114 passed, 1 skipped, 92 subtests passed. Full task gates still require review and missing integration evidence.</x:v>
      </x:c>
      <x:c r="R157" s="7" t="str">
        <x:v>d9d94ed854198b9c0252dcfdaf3b5afccb06c217</x:v>
      </x:c>
      <x:c r="S157" s="7" t="str">
        <x:v>CC-RUN-remote-reconcile-20260912</x:v>
      </x:c>
      <x:c r="T157" s="7" t="str">
        <x:v>Coordinator</x:v>
      </x:c>
      <x:c r="U157" s="7" t="str"/>
    </x:row>
    <x:row r="158" ht="54" customHeight="1">
      <x:c r="A158" s="3" t="str">
        <x:v>CC-E157</x:v>
      </x:c>
      <x:c r="B158" s="3" t="str">
        <x:v>Full resumed application suite</x:v>
      </x:c>
      <x:c r="C158" s="3" t="str">
        <x:v>Full resumed application suite</x:v>
      </x:c>
      <x:c r="D158" s="3" t="str">
        <x:v>Isolated Windows development checkout</x:v>
      </x:c>
      <x:c r="E158" s="7" t="str">
        <x:v>Done</x:v>
      </x:c>
      <x:c r="F158" s="7" t="str">
        <x:v>work/evidence/resume-direct-full-suite-20260912.xml</x:v>
      </x:c>
      <x:c r="G158" s="7" t="str">
        <x:v>Resumed implementation evidence. Task closure still depends on review and any non-synthetic gates named in the plan.</x:v>
      </x:c>
      <x:c r="H158" s="3" t="str">
        <x:v>Execution</x:v>
      </x:c>
      <x:c r="I158" s="3" t="str">
        <x:v>["CC-T003", "CC-T009", "CC-T010", "CC-T011", "CC-T012"]</x:v>
      </x:c>
      <x:c r="J158" s="3" t="str">
        <x:v>[]</x:v>
      </x:c>
      <x:c r="K158" s="7" t="str">
        <x:v>07771e534e7bbcc368cc9157d3f322073f9cad4710aa46e66c0e2226f458e434</x:v>
      </x:c>
      <x:c r="L158" s="8" t="n">
        <x:v>46277.97015940972</x:v>
      </x:c>
      <x:c r="M158" s="7" t="str">
        <x:v>Windows; Python 3.12.14; pytest 9.1.1; Git for Windows</x:v>
      </x:c>
      <x:c r="N158" s="7" t="str">
        <x:v>.venv/Scripts/python.exe -m pytest -q --junitxml=../evidence/resume-direct-full-suite-20260912.xml</x:v>
      </x:c>
      <x:c r="O158" s="7" t="n">
        <x:v>0</x:v>
      </x:c>
      <x:c r="P158" s="3" t="str">
        <x:v>Focused and full verification evidence is recorded without claiming unperformed hardware, model-load or pilot-source gates.</x:v>
      </x:c>
      <x:c r="Q158" s="7" t="str">
        <x:v>141 passed, 1 skipped, 108 subtests passed.</x:v>
      </x:c>
      <x:c r="R158" s="7" t="str">
        <x:v>933a39204a90ff60d26c96444de66dc379e31065</x:v>
      </x:c>
      <x:c r="S158" s="7" t="str">
        <x:v>CC-RUN-resume-direct-20260912</x:v>
      </x:c>
      <x:c r="T158" s="7" t="str">
        <x:v>Coordinator</x:v>
      </x:c>
      <x:c r="U158" s="7" t="str"/>
    </x:row>
    <x:row r="159" ht="60" customHeight="1">
      <x:c r="A159" s="3" t="str">
        <x:v>CC-E158</x:v>
      </x:c>
      <x:c r="B159" s="3" t="str">
        <x:v>Focused model asset, sidecar and inference settings fixtures</x:v>
      </x:c>
      <x:c r="C159" s="3" t="str">
        <x:v>Focused model asset, sidecar and inference settings fixtures</x:v>
      </x:c>
      <x:c r="D159" s="3" t="str">
        <x:v>Isolated Windows development checkout</x:v>
      </x:c>
      <x:c r="E159" s="7" t="str">
        <x:v>Done</x:v>
      </x:c>
      <x:c r="F159" s="7" t="str">
        <x:v>work/evidence/cc-t010-t011-t012-runtime-focused.xml</x:v>
      </x:c>
      <x:c r="G159" s="7" t="str">
        <x:v>Resumed implementation evidence. Task closure still depends on review and any non-synthetic gates named in the plan.</x:v>
      </x:c>
      <x:c r="H159" s="3" t="str">
        <x:v>Execution</x:v>
      </x:c>
      <x:c r="I159" s="3" t="str">
        <x:v>["CC-T010", "CC-T011", "CC-T012"]</x:v>
      </x:c>
      <x:c r="J159" s="3" t="str">
        <x:v>["CC-T010-S03", "CC-T011-S03", "CC-T012-S03"]</x:v>
      </x:c>
      <x:c r="K159" s="7" t="str">
        <x:v>746d7dbc2f1ede92a054c3a7b3f89c9831f5fb39cae6d45d3e16e6fc0b53055b</x:v>
      </x:c>
      <x:c r="L159" s="8" t="n">
        <x:v>46277.97015940972</x:v>
      </x:c>
      <x:c r="M159" s="7" t="str">
        <x:v>Windows; Python 3.12.14; pytest 9.1.1; Git for Windows</x:v>
      </x:c>
      <x:c r="N159" s="7" t="str">
        <x:v>.venv/Scripts/python.exe -m pytest -q tests/acceptance/test_model_assets.py tests/acceptance/test_sidecar_lifecycle.py tests/acceptance/test_inference_settings.py --junitxml=../evidence/cc-t010-t011-t012-runtime-focused.xml</x:v>
      </x:c>
      <x:c r="O159" s="7" t="n">
        <x:v>0</x:v>
      </x:c>
      <x:c r="P159" s="3" t="str">
        <x:v>Focused and full verification evidence is recorded without claiming unperformed hardware, model-load or pilot-source gates.</x:v>
      </x:c>
      <x:c r="Q159" s="7" t="str">
        <x:v>29 passed, 12 subtests passed. Evidence remains synthetic and does not prove real model/runtime/hardware activation.</x:v>
      </x:c>
      <x:c r="R159" s="7" t="str">
        <x:v>933a39204a90ff60d26c96444de66dc379e31065</x:v>
      </x:c>
      <x:c r="S159" s="7" t="str">
        <x:v>CC-RUN-resume-direct-20260912</x:v>
      </x:c>
      <x:c r="T159" s="7" t="str">
        <x:v>Coordinator</x:v>
      </x:c>
      <x:c r="U159" s="7" t="str"/>
    </x:row>
    <x:row r="160" ht="54" customHeight="1">
      <x:c r="A160" s="3" t="str">
        <x:v>CC-E159</x:v>
      </x:c>
      <x:c r="B160" s="3" t="str">
        <x:v>Coordinator implementation checkpoint and known limits</x:v>
      </x:c>
      <x:c r="C160" s="3" t="str">
        <x:v>Coordinator implementation checkpoint and known limits</x:v>
      </x:c>
      <x:c r="D160" s="3" t="str">
        <x:v>Isolated Windows development checkout</x:v>
      </x:c>
      <x:c r="E160" s="7" t="str">
        <x:v>Done</x:v>
      </x:c>
      <x:c r="F160" s="7" t="str">
        <x:v>work/evidence/resume-direct-implementation-20260912.md</x:v>
      </x:c>
      <x:c r="G160" s="7" t="str">
        <x:v>Resumed implementation evidence. Task closure still depends on review and any non-synthetic gates named in the plan.</x:v>
      </x:c>
      <x:c r="H160" s="3" t="str">
        <x:v>Review</x:v>
      </x:c>
      <x:c r="I160" s="3" t="str">
        <x:v>["CC-T003", "CC-T009", "CC-T010", "CC-T011", "CC-T012"]</x:v>
      </x:c>
      <x:c r="J160" s="3" t="str">
        <x:v>[]</x:v>
      </x:c>
      <x:c r="K160" s="7" t="str">
        <x:v>574a228abb994a8033b853eb69e99822ae6ca3949ed013f2c3ba95e11dd30fbd</x:v>
      </x:c>
      <x:c r="L160" s="8" t="n">
        <x:v>46277.97015940972</x:v>
      </x:c>
      <x:c r="M160" s="7" t="str">
        <x:v>Windows; Python 3.12.14; pytest 9.1.1; Git for Windows</x:v>
      </x:c>
      <x:c r="N160" s="7" t="str"/>
      <x:c r="O160" s="7" t="n">
        <x:v>0</x:v>
      </x:c>
      <x:c r="P160" s="3" t="str">
        <x:v>Focused and full verification evidence is recorded without claiming unperformed hardware, model-load or pilot-source gates.</x:v>
      </x:c>
      <x:c r="Q160" s="7" t="str">
        <x:v>Verified source commit 933a392. T003/T009 review steps remain open; T010-T012 real asset/runtime gates remain unperformed.</x:v>
      </x:c>
      <x:c r="R160" s="7" t="str">
        <x:v>933a39204a90ff60d26c96444de66dc379e31065</x:v>
      </x:c>
      <x:c r="S160" s="7" t="str">
        <x:v>CC-RUN-resume-direct-20260912</x:v>
      </x:c>
      <x:c r="T160" s="7" t="str">
        <x:v>Coordinator</x:v>
      </x:c>
      <x:c r="U160" s="7" t="str"/>
    </x:row>
    <x:row r="161" ht="84" customHeight="1">
      <x:c r="A161" s="3" t="str">
        <x:v>CC-E160</x:v>
      </x:c>
      <x:c r="B161" s="3" t="str">
        <x:v>User versioning rule added to tracker</x:v>
      </x:c>
      <x:c r="C161" s="3" t="str">
        <x:v>Every software version that is created for this project must advance the application version number before release packaging. A compiled build must record the version, commit SHA, pushed branch, build artifact or installer manifest, and verification evidence in the tracker. A commit or push alone is not a compiled software version; a compiled artifact without a version bump cannot be marked as release evidence.</x:v>
      </x:c>
      <x:c r="D161" s="3" t="str">
        <x:v>Current Codex task and Automotive RAG tracker</x:v>
      </x:c>
      <x:c r="E161" s="7" t="str">
        <x:v>Done</x:v>
      </x:c>
      <x:c r="F161" s="7" t="str">
        <x:v>outputs/CC_Workshop_Planning_Tracker.xlsx; outputs/CC_Workshop_Implementation_Plan.json</x:v>
      </x:c>
      <x:c r="G161" s="7" t="str">
        <x:v>This evidence records the rule itself. It is not evidence that a compiled software version has already been created.</x:v>
      </x:c>
      <x:c r="H161" s="3" t="str">
        <x:v>Decision</x:v>
      </x:c>
      <x:c r="I161" s="3" t="str">
        <x:v>["CC-T029", "CC-T032"]</x:v>
      </x:c>
      <x:c r="J161" s="3" t="str">
        <x:v>[]</x:v>
      </x:c>
      <x:c r="K161" s="7" t="str"/>
      <x:c r="L161" s="8" t="n">
        <x:v>46279</x:v>
      </x:c>
      <x:c r="M161" s="7" t="str">
        <x:v>Codex desktop task; tracker builder</x:v>
      </x:c>
      <x:c r="N161" s="7" t="str">
        <x:v>User requested a versioning rule for every software edition created, committed, pushed and compiled.</x:v>
      </x:c>
      <x:c r="O161" s="7" t="n">
        <x:v>0</x:v>
      </x:c>
      <x:c r="P161" s="3" t="str">
        <x:v>Tracker contains a durable rule requiring each compiled software edition to advance the version number and record commit, push, build and evidence metadata.</x:v>
      </x:c>
      <x:c r="Q161" s="7" t="str">
        <x:v>Decision CC-D014 and evidence CC-E160 define the version-bump rule and tie it to Windows installation and release handover work.</x:v>
      </x:c>
      <x:c r="R161" s="7" t="str"/>
      <x:c r="S161" s="7" t="str">
        <x:v>CC-RUN-version-rule-20260914</x:v>
      </x:c>
      <x:c r="T161" s="7" t="str">
        <x:v>User</x:v>
      </x:c>
      <x:c r="U161" s="7" t="str"/>
    </x:row>
    <x:row r="162" ht="60" customHeight="1">
      <x:c r="A162" s="3" t="str">
        <x:v>CC-E161</x:v>
      </x:c>
      <x:c r="B162" s="3" t="str">
        <x:v>Independent reviewer report for CC-T003 and CC-T009</x:v>
      </x:c>
      <x:c r="C162" s="3" t="str">
        <x:v>Read-only review report covering Garage and provider checkpoint findings.</x:v>
      </x:c>
      <x:c r="D162" s="3" t="str">
        <x:v>work/cc-workshop/.superpowers/sdd/CC_Workshop_Implementation_Plan/t003-t009-review-20260914.md</x:v>
      </x:c>
      <x:c r="E162" s="7" t="str">
        <x:v>Done</x:v>
      </x:c>
      <x:c r="F162" s="7" t="str">
        <x:v>work/cc-workshop/.superpowers/sdd/CC_Workshop_Implementation_Plan/t003-t009-review-20260914.md</x:v>
      </x:c>
      <x:c r="G162" s="7" t="str">
        <x:v>This report initially blocked task closure; findings were fixed in source commit 1e87202.</x:v>
      </x:c>
      <x:c r="H162" s="3" t="str">
        <x:v>Review</x:v>
      </x:c>
      <x:c r="I162" s="3" t="str">
        <x:v>["CC-T003", "CC-T009"]</x:v>
      </x:c>
      <x:c r="J162" s="3" t="str">
        <x:v>["CC-T003-S04", "CC-T009-S04"]</x:v>
      </x:c>
      <x:c r="K162" s="7" t="str">
        <x:v>046de6b76fbdcb21a8dd98ca131a9509550a4611e069fd836597c4fec63c940e</x:v>
      </x:c>
      <x:c r="L162" s="8" t="n">
        <x:v>46279.506944444445</x:v>
      </x:c>
      <x:c r="M162" s="7" t="str">
        <x:v>Codex reviewer subagent</x:v>
      </x:c>
      <x:c r="N162" s="7" t="str">
        <x:v>Independent code review of d9d94ed..933a392 plus subsequent finding verification.</x:v>
      </x:c>
      <x:c r="O162" s="7" t="n">
        <x:v>0</x:v>
      </x:c>
      <x:c r="P162" s="3" t="str">
        <x:v>Reviewer identifies any Critical or Important findings before closure.</x:v>
      </x:c>
      <x:c r="Q162" s="7" t="str">
        <x:v>Reviewer identified one Critical and seven Important findings; all applicable findings were addressed before closure.</x:v>
      </x:c>
      <x:c r="R162" s="7" t="str">
        <x:v>1e87202a7ed8923e270090aa87f22a4947a68bcc</x:v>
      </x:c>
      <x:c r="S162" s="7" t="str">
        <x:v>CC-RUN-reviewer-fixes-20260914</x:v>
      </x:c>
      <x:c r="T162" s="7" t="str">
        <x:v>review_t003_t009</x:v>
      </x:c>
      <x:c r="U162" s="7" t="str"/>
    </x:row>
    <x:row r="163" ht="84" customHeight="1">
      <x:c r="A163" s="3" t="str">
        <x:v>CC-E162</x:v>
      </x:c>
      <x:c r="B163" s="3" t="str">
        <x:v>Reviewer-fix focused and full-suite execution artifacts</x:v>
      </x:c>
      <x:c r="C163" s="3" t="str">
        <x:v>JUnit reports for focused reviewer-fix verification and the full suite.</x:v>
      </x:c>
      <x:c r="D163" s="3" t="str">
        <x:v>work/evidence/reviewer-fixes-focused-20260914.xml; work/evidence/reviewer-fixes-full-suite-20260914.xml</x:v>
      </x:c>
      <x:c r="E163" s="7" t="str">
        <x:v>Done</x:v>
      </x:c>
      <x:c r="F163" s="7" t="str">
        <x:v>work/evidence/reviewer-fixes-focused-20260914.xml; work/evidence/reviewer-fixes-full-suite-20260914.xml</x:v>
      </x:c>
      <x:c r="G163" s="7" t="str">
        <x:v>The focused report hash is recorded first. The full-suite report hash is recorded in Actual result.</x:v>
      </x:c>
      <x:c r="H163" s="3" t="str">
        <x:v>Execution</x:v>
      </x:c>
      <x:c r="I163" s="3" t="str">
        <x:v>["CC-T003", "CC-T009"]</x:v>
      </x:c>
      <x:c r="J163" s="3" t="str">
        <x:v>["CC-T003-S04", "CC-T009-S04"]</x:v>
      </x:c>
      <x:c r="K163" s="7" t="str">
        <x:v>eef007ebd36d2308752aab1a8e69d5febd5b2b9a8f7390ffa4827c233369a656</x:v>
      </x:c>
      <x:c r="L163" s="8" t="n">
        <x:v>46279.506944444445</x:v>
      </x:c>
      <x:c r="M163" s="7" t="str">
        <x:v>Windows; Python 3.12.14; pytest 9.1.1; Git for Windows; Codex desktop</x:v>
      </x:c>
      <x:c r="N163" s="7" t="str">
        <x:v>.venv/Scripts/python.exe -m pytest -q tests/acceptance/test_garage_isolation.py tests/acceptance/test_garage_request_scope.py tests/acceptance/test_runtime_contracts.py tests/test_provider_conformance.py tests/acceptance/test_inference_settings.py --junitxml=../evidence/reviewer-fixes-focused-20260914.xml; .venv/Scripts/python.exe -m pytest -q --junitxml=../evidence/reviewer-fixes-full-suite-20260914.xml</x:v>
      </x:c>
      <x:c r="O163" s="7" t="n">
        <x:v>0</x:v>
      </x:c>
      <x:c r="P163" s="3" t="str">
        <x:v>Focused reviewer-fix and full-suite commands pass.</x:v>
      </x:c>
      <x:c r="Q163" s="7" t="str">
        <x:v>Focused: 81 passed, 1 skipped, 104 subtests, sha256=eef007ebd36d2308752aab1a8e69d5febd5b2b9a8f7390ffa4827c233369a656. Full: 150 passed, 1 skipped, 112 subtests, sha256=15694dbda2b1a12bbf862b591b536b4c9c77229c2584c03ab97e0730702faaca.</x:v>
      </x:c>
      <x:c r="R163" s="7" t="str">
        <x:v>1e87202a7ed8923e270090aa87f22a4947a68bcc</x:v>
      </x:c>
      <x:c r="S163" s="7" t="str">
        <x:v>CC-RUN-reviewer-fixes-20260914</x:v>
      </x:c>
      <x:c r="T163" s="7" t="str">
        <x:v>Coordinator</x:v>
      </x:c>
      <x:c r="U163" s="7" t="str"/>
    </x:row>
  </x:sheetData>
  <x:conditionalFormatting sqref="E2:E163">
    <x:cfRule type="containsText" dxfId="8" priority="1" operator="containsText" text="Blocked"/>
    <x:cfRule type="containsText" dxfId="9" priority="2" operator="containsText" text="In progress"/>
    <x:cfRule type="containsText" dxfId="10" priority="3" operator="containsText" text="Done"/>
  </x:conditionalFormatting>
  <x:dataValidations count="2">
    <x:dataValidation type="list" sqref="E2:E163">
      <x:formula1>"Not started,In progress,Blocked,Done,Skipped,N/A"</x:formula1>
    </x:dataValidation>
    <x:dataValidation type="list" sqref="H2:H163">
      <x:formula1>"Source,Research,Design,Execution,Review,Release,Decision"</x:formula1>
    </x:dataValidation>
  </x:dataValidations>
  <x:pageMargins left="0.7" right="0.7" top="0.75" bottom="0.75" header="0.3" footer="0.3"/>
  <x:tableParts count="1">
    <x:tablePart xmlns:r="http://schemas.openxmlformats.org/officeDocument/2006/relationships" r:id="Rb51dd0312ae74d97"/>
  </x:tableParts>
</x:worksheet>
</file>